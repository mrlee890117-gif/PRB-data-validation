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anet-my.sharepoint.com/personal/mrlee_metanetglobal_com/Documents/00 업무/PRB-data-validation/"/>
    </mc:Choice>
  </mc:AlternateContent>
  <xr:revisionPtr revIDLastSave="15" documentId="8_{C318E0C0-BB60-48DA-994F-7E706441A1CA}" xr6:coauthVersionLast="47" xr6:coauthVersionMax="47" xr10:uidLastSave="{68875F81-16C3-4D42-8ACD-E9FE6EDB3BC7}"/>
  <bookViews>
    <workbookView xWindow="28680" yWindow="-120" windowWidth="29040" windowHeight="15720" xr2:uid="{A959569D-6F81-45E5-A8D5-469012C2BE85}"/>
  </bookViews>
  <sheets>
    <sheet name="(old)SC인원 현황_B15" sheetId="1" r:id="rId1"/>
    <sheet name="(new)SC인원 현황_B20" sheetId="4" r:id="rId2"/>
    <sheet name="As-is 밴드 15" sheetId="2" r:id="rId3"/>
    <sheet name="To-be_밴드 20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A그래프2" hidden="1">#REF!</definedName>
    <definedName name="__123Graph_B그래프2" hidden="1">#REF!</definedName>
    <definedName name="__123Graph_X그래프2" hidden="1">#REF!</definedName>
    <definedName name="_Order1">0</definedName>
    <definedName name="_Order2">0</definedName>
    <definedName name="_Parse_Out" hidden="1">#REF!</definedName>
    <definedName name="Address">ROW([1]MaxMin_Change!$A1:$IV1)&amp;"-"&amp;COLUMN([1]MaxMin_Change!A$1:A$65536)</definedName>
    <definedName name="HowManyDay">{1,2,3,4,5,6,7}</definedName>
    <definedName name="HowManyWeek">{0;1;2;3;4;5}</definedName>
    <definedName name="HTML_CodePage">949</definedName>
    <definedName name="HTML_Control">{"'Sheet1'!$A$4:$M$21","'Sheet1'!$J$17:$K$19"}</definedName>
    <definedName name="HTML_Description">""</definedName>
    <definedName name="HTML_Email">""</definedName>
    <definedName name="HTML_Header">"Sheet1"</definedName>
    <definedName name="HTML_LastUpdate">"2000-11-21"</definedName>
    <definedName name="HTML_LineAfter">FALSE</definedName>
    <definedName name="HTML_LineBefore">FALSE</definedName>
    <definedName name="HTML_Name">"최경원"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"성산시영골조"</definedName>
    <definedName name="MCG">[2]Reference!#REF!</definedName>
    <definedName name="MEG">[2]Reference!#REF!</definedName>
    <definedName name="MWG">[2]Reference!#REF!</definedName>
    <definedName name="MyColumn">COLUMN([1]MaxMin_Change!A$1:A$65536)</definedName>
    <definedName name="MyRow">ROW([1]MaxMin_Change!$A1:$IV1)</definedName>
    <definedName name="PJ_Util.Ratio" localSheetId="1">IF(('(new)SC인원 현황_B20'!PJ기간&gt;=12), 90%, 70%)</definedName>
    <definedName name="PJ_Util.Ratio">IF((PJ기간&gt;=12), 90%, 70%)</definedName>
    <definedName name="PJ_VALUE">'[2]Financial Summary'!$E$17</definedName>
    <definedName name="PJ_WDO_Cost">#REF!</definedName>
    <definedName name="PJ_WDO_Profit">#REF!</definedName>
    <definedName name="PJ_WDO_투입MM">#REF!</definedName>
    <definedName name="PJ기간" localSheetId="1">DATEDIF(PJ시작일,PJ종료일+1,"M")</definedName>
    <definedName name="PJ기간">DATEDIF(PJ시작일,PJ종료일+1,"M")</definedName>
    <definedName name="PJ외주투입기간">#REF!</definedName>
    <definedName name="PJ인력투입기간" localSheetId="1">IF(PJ자사투입기간&gt;[0]!PJ외주투입기간, PJ자사투입기간, [0]!PJ외주투입기간)</definedName>
    <definedName name="PJ인력투입기간">IF(PJ자사투입기간&gt;PJ외주투입기간, PJ자사투입기간, PJ외주투입기간)</definedName>
    <definedName name="PrcTable_BCS" localSheetId="1">OFFSET(ADDR_Prc, , ,7, 9)</definedName>
    <definedName name="PrcTable_BCS">OFFSET(ADDR_Prc, , ,7, 9)</definedName>
    <definedName name="PrcTable_SCS" localSheetId="1">OFFSET(ADDR_Prc, 11, ,7, 9)</definedName>
    <definedName name="PrcTable_SCS">OFFSET(ADDR_Prc, 11, ,7, 9)</definedName>
    <definedName name="PrcTable_SO1" localSheetId="1">OFFSET(ADDR_Prc, 22, ,7, 9)</definedName>
    <definedName name="PrcTable_SO1">OFFSET(ADDR_Prc, 22, ,7, 9)</definedName>
    <definedName name="PrcTable_ST" localSheetId="1">OFFSET(ADDR_Prc, 33, ,21, 8)</definedName>
    <definedName name="PrcTable_ST">OFFSET(ADDR_Prc, 33, ,21, 8)</definedName>
    <definedName name="SalesRegions">{"S. California";"Pacific NW";"SouthWest";"Central";"SouthEast";"NorthEast"}</definedName>
    <definedName name="Solution">[2]Reference!#REF!</definedName>
    <definedName name="SSD">{"'Sheet1'!$A$4:$M$21","'Sheet1'!$J$17:$K$19"}</definedName>
    <definedName name="w">[3]표준인건비!$B:$F</definedName>
    <definedName name="Week">{0;1;2;3;4;5}</definedName>
    <definedName name="Weekday">{1,2,3,4,5,6,7}</definedName>
    <definedName name="그룹명" localSheetId="1">OFFSET(ADDR_St,, MATCH(PJ주관BU, BU명, 0), OFFSET([0]!PJ_WDO_Profit,,MATCH(PJ주관BU, BU명, 0)))</definedName>
    <definedName name="그룹명">OFFSET(ADDR_St,, MATCH(PJ주관BU, BU명, 0), OFFSET(PJ_WDO_Profit,,MATCH(PJ주관BU, BU명, 0)))</definedName>
    <definedName name="근린생활시설">{"'Sheet1'!$A$4:$M$21","'Sheet1'!$J$17:$K$19"}</definedName>
    <definedName name="기">[4]Sheet1!$T$7</definedName>
    <definedName name="ㅁㄴ">{"'Sheet1'!$A$4:$M$21","'Sheet1'!$J$17:$K$19"}</definedName>
    <definedName name="ㅁㄴㅁ">{"'Sheet1'!$A$4:$M$21","'Sheet1'!$J$17:$K$19"}</definedName>
    <definedName name="ㅁㅁ">{"S. California";"Pacific NW";"SouthWest";"Central";"SouthEast";"NorthEast"}</definedName>
    <definedName name="배수">[5]전주기준!#REF!</definedName>
    <definedName name="사업주망">{0;1;2;3;4;5}</definedName>
    <definedName name="사업주망1">COLUMN([6]MaxMin_Change!A:A)</definedName>
    <definedName name="산출내역서">COLUMN([6]MaxMin_Change!A$1:A$65536)</definedName>
    <definedName name="산출내역서1">ROW([6]MaxMin_Change!$A1:$IV1)</definedName>
    <definedName name="ㅇㄹㅇㄹ">{0;1;2;3;4;5}</definedName>
    <definedName name="아파트내역2">{"'Sheet1'!$A$4:$M$21","'Sheet1'!$J$17:$K$19"}</definedName>
    <definedName name="전철" hidden="1">0</definedName>
    <definedName name="표준인건비">[7]표준인건비!#REF!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3" l="1"/>
  <c r="O28" i="3" s="1"/>
  <c r="R28" i="3" s="1"/>
  <c r="M27" i="3"/>
  <c r="O27" i="3" s="1"/>
  <c r="R27" i="3" s="1"/>
  <c r="M26" i="3"/>
  <c r="O26" i="3" s="1"/>
  <c r="R26" i="3" s="1"/>
  <c r="E6" i="3"/>
  <c r="G6" i="3" s="1"/>
  <c r="H6" i="3" s="1"/>
  <c r="D7" i="3" l="1"/>
  <c r="J6" i="3"/>
  <c r="I6" i="3"/>
  <c r="K6" i="3" s="1"/>
  <c r="M6" i="3" s="1"/>
  <c r="E7" i="3"/>
  <c r="D8" i="3" s="1"/>
  <c r="N26" i="3"/>
  <c r="N27" i="3"/>
  <c r="N28" i="3"/>
  <c r="O6" i="3" l="1"/>
  <c r="R6" i="3" s="1"/>
  <c r="N6" i="3"/>
  <c r="Q28" i="3"/>
  <c r="P28" i="3"/>
  <c r="S28" i="3" s="1"/>
  <c r="Q27" i="3"/>
  <c r="P27" i="3"/>
  <c r="S27" i="3" s="1"/>
  <c r="Q26" i="3"/>
  <c r="P26" i="3"/>
  <c r="S26" i="3" s="1"/>
  <c r="E8" i="3"/>
  <c r="D9" i="3" s="1"/>
  <c r="G7" i="3"/>
  <c r="H7" i="3" s="1"/>
  <c r="Q6" i="3" l="1"/>
  <c r="P6" i="3"/>
  <c r="S6" i="3" s="1"/>
  <c r="I7" i="3"/>
  <c r="J7" i="3"/>
  <c r="E9" i="3"/>
  <c r="D10" i="3" s="1"/>
  <c r="G8" i="3"/>
  <c r="H8" i="3" s="1"/>
  <c r="K7" i="3" l="1"/>
  <c r="M7" i="3" s="1"/>
  <c r="O7" i="3"/>
  <c r="R7" i="3" s="1"/>
  <c r="N7" i="3"/>
  <c r="J8" i="3"/>
  <c r="I8" i="3"/>
  <c r="K8" i="3" s="1"/>
  <c r="M8" i="3" s="1"/>
  <c r="E10" i="3"/>
  <c r="D11" i="3" s="1"/>
  <c r="G9" i="3"/>
  <c r="H9" i="3" s="1"/>
  <c r="O8" i="3" l="1"/>
  <c r="R8" i="3" s="1"/>
  <c r="N8" i="3"/>
  <c r="Q7" i="3"/>
  <c r="P7" i="3"/>
  <c r="S7" i="3" s="1"/>
  <c r="J9" i="3"/>
  <c r="I9" i="3"/>
  <c r="K9" i="3" s="1"/>
  <c r="M9" i="3" s="1"/>
  <c r="E11" i="3"/>
  <c r="D12" i="3" s="1"/>
  <c r="G11" i="3"/>
  <c r="H11" i="3" s="1"/>
  <c r="G10" i="3"/>
  <c r="H10" i="3" s="1"/>
  <c r="N9" i="3" l="1"/>
  <c r="O9" i="3"/>
  <c r="R9" i="3" s="1"/>
  <c r="J10" i="3"/>
  <c r="I10" i="3"/>
  <c r="K10" i="3" s="1"/>
  <c r="M10" i="3" s="1"/>
  <c r="J11" i="3"/>
  <c r="I11" i="3"/>
  <c r="K11" i="3" s="1"/>
  <c r="M11" i="3" s="1"/>
  <c r="E12" i="3"/>
  <c r="D13" i="3" s="1"/>
  <c r="Q8" i="3"/>
  <c r="P8" i="3"/>
  <c r="S8" i="3" s="1"/>
  <c r="O11" i="3" l="1"/>
  <c r="R11" i="3" s="1"/>
  <c r="N11" i="3"/>
  <c r="O10" i="3"/>
  <c r="R10" i="3" s="1"/>
  <c r="N10" i="3"/>
  <c r="Q9" i="3"/>
  <c r="P9" i="3"/>
  <c r="S9" i="3" s="1"/>
  <c r="E13" i="3"/>
  <c r="D14" i="3" s="1"/>
  <c r="G12" i="3"/>
  <c r="H12" i="3" s="1"/>
  <c r="J12" i="3" l="1"/>
  <c r="I12" i="3"/>
  <c r="K12" i="3" s="1"/>
  <c r="M12" i="3" s="1"/>
  <c r="E14" i="3"/>
  <c r="D15" i="3" s="1"/>
  <c r="G13" i="3"/>
  <c r="H13" i="3" s="1"/>
  <c r="P10" i="3"/>
  <c r="S10" i="3" s="1"/>
  <c r="Q10" i="3"/>
  <c r="Q11" i="3"/>
  <c r="P11" i="3"/>
  <c r="S11" i="3" s="1"/>
  <c r="O12" i="3" l="1"/>
  <c r="R12" i="3" s="1"/>
  <c r="N12" i="3"/>
  <c r="J13" i="3"/>
  <c r="I13" i="3"/>
  <c r="E15" i="3"/>
  <c r="D16" i="3" s="1"/>
  <c r="G14" i="3"/>
  <c r="H14" i="3" s="1"/>
  <c r="K13" i="3" l="1"/>
  <c r="M13" i="3" s="1"/>
  <c r="N13" i="3"/>
  <c r="O13" i="3"/>
  <c r="R13" i="3" s="1"/>
  <c r="J14" i="3"/>
  <c r="I14" i="3"/>
  <c r="K14" i="3" s="1"/>
  <c r="M14" i="3" s="1"/>
  <c r="E16" i="3"/>
  <c r="D17" i="3" s="1"/>
  <c r="G15" i="3"/>
  <c r="H15" i="3" s="1"/>
  <c r="Q12" i="3"/>
  <c r="P12" i="3"/>
  <c r="S12" i="3" s="1"/>
  <c r="O14" i="3" l="1"/>
  <c r="R14" i="3" s="1"/>
  <c r="N14" i="3"/>
  <c r="J15" i="3"/>
  <c r="I15" i="3"/>
  <c r="E17" i="3"/>
  <c r="D18" i="3" s="1"/>
  <c r="G16" i="3"/>
  <c r="H16" i="3" s="1"/>
  <c r="Q13" i="3"/>
  <c r="P13" i="3"/>
  <c r="S13" i="3" s="1"/>
  <c r="K15" i="3" l="1"/>
  <c r="M15" i="3" s="1"/>
  <c r="O15" i="3" s="1"/>
  <c r="R15" i="3" s="1"/>
  <c r="J16" i="3"/>
  <c r="I16" i="3"/>
  <c r="E18" i="3"/>
  <c r="D19" i="3" s="1"/>
  <c r="G17" i="3"/>
  <c r="H17" i="3" s="1"/>
  <c r="N15" i="3"/>
  <c r="Q14" i="3"/>
  <c r="P14" i="3"/>
  <c r="S14" i="3" s="1"/>
  <c r="K16" i="3" l="1"/>
  <c r="M16" i="3" s="1"/>
  <c r="O16" i="3"/>
  <c r="R16" i="3" s="1"/>
  <c r="N16" i="3"/>
  <c r="Q15" i="3"/>
  <c r="P15" i="3"/>
  <c r="S15" i="3" s="1"/>
  <c r="J17" i="3"/>
  <c r="I17" i="3"/>
  <c r="K17" i="3" s="1"/>
  <c r="M17" i="3" s="1"/>
  <c r="E19" i="3"/>
  <c r="D20" i="3" s="1"/>
  <c r="G19" i="3"/>
  <c r="H19" i="3" s="1"/>
  <c r="G18" i="3"/>
  <c r="H18" i="3" s="1"/>
  <c r="O17" i="3" l="1"/>
  <c r="R17" i="3" s="1"/>
  <c r="N17" i="3"/>
  <c r="I19" i="3"/>
  <c r="J19" i="3"/>
  <c r="J18" i="3"/>
  <c r="I18" i="3"/>
  <c r="K18" i="3" s="1"/>
  <c r="M18" i="3" s="1"/>
  <c r="E20" i="3"/>
  <c r="D21" i="3" s="1"/>
  <c r="Q16" i="3"/>
  <c r="P16" i="3"/>
  <c r="S16" i="3" s="1"/>
  <c r="K19" i="3" l="1"/>
  <c r="M19" i="3" s="1"/>
  <c r="O19" i="3" s="1"/>
  <c r="R19" i="3" s="1"/>
  <c r="O18" i="3"/>
  <c r="R18" i="3" s="1"/>
  <c r="N18" i="3"/>
  <c r="E21" i="3"/>
  <c r="D22" i="3" s="1"/>
  <c r="G20" i="3"/>
  <c r="H20" i="3" s="1"/>
  <c r="Q17" i="3"/>
  <c r="P17" i="3"/>
  <c r="S17" i="3" s="1"/>
  <c r="N19" i="3" l="1"/>
  <c r="Q19" i="3" s="1"/>
  <c r="J20" i="3"/>
  <c r="I20" i="3"/>
  <c r="K20" i="3" s="1"/>
  <c r="M20" i="3" s="1"/>
  <c r="E22" i="3"/>
  <c r="D23" i="3" s="1"/>
  <c r="G21" i="3"/>
  <c r="H21" i="3" s="1"/>
  <c r="Q18" i="3"/>
  <c r="P18" i="3"/>
  <c r="S18" i="3" s="1"/>
  <c r="P19" i="3" l="1"/>
  <c r="S19" i="3" s="1"/>
  <c r="J21" i="3"/>
  <c r="I21" i="3"/>
  <c r="K21" i="3"/>
  <c r="M21" i="3" s="1"/>
  <c r="E23" i="3"/>
  <c r="D24" i="3" s="1"/>
  <c r="G22" i="3"/>
  <c r="H22" i="3" s="1"/>
  <c r="O20" i="3"/>
  <c r="R20" i="3" s="1"/>
  <c r="N20" i="3"/>
  <c r="Q20" i="3" l="1"/>
  <c r="P20" i="3"/>
  <c r="S20" i="3" s="1"/>
  <c r="J22" i="3"/>
  <c r="I22" i="3"/>
  <c r="E24" i="3"/>
  <c r="D25" i="3" s="1"/>
  <c r="G23" i="3"/>
  <c r="H23" i="3" s="1"/>
  <c r="O21" i="3"/>
  <c r="R21" i="3" s="1"/>
  <c r="N21" i="3"/>
  <c r="K22" i="3" l="1"/>
  <c r="M22" i="3" s="1"/>
  <c r="O22" i="3" s="1"/>
  <c r="R22" i="3" s="1"/>
  <c r="Q21" i="3"/>
  <c r="P21" i="3"/>
  <c r="S21" i="3" s="1"/>
  <c r="J23" i="3"/>
  <c r="I23" i="3"/>
  <c r="K23" i="3" s="1"/>
  <c r="M23" i="3" s="1"/>
  <c r="E25" i="3"/>
  <c r="G25" i="3"/>
  <c r="H25" i="3" s="1"/>
  <c r="G24" i="3"/>
  <c r="H24" i="3" s="1"/>
  <c r="N22" i="3" l="1"/>
  <c r="O23" i="3"/>
  <c r="R23" i="3" s="1"/>
  <c r="N23" i="3"/>
  <c r="J24" i="3"/>
  <c r="I24" i="3"/>
  <c r="K24" i="3" s="1"/>
  <c r="M24" i="3" s="1"/>
  <c r="J25" i="3"/>
  <c r="I25" i="3"/>
  <c r="K25" i="3" s="1"/>
  <c r="M25" i="3" s="1"/>
  <c r="Q22" i="3"/>
  <c r="P22" i="3"/>
  <c r="S22" i="3" s="1"/>
  <c r="O24" i="3" l="1"/>
  <c r="R24" i="3" s="1"/>
  <c r="N24" i="3"/>
  <c r="O25" i="3"/>
  <c r="R25" i="3" s="1"/>
  <c r="N25" i="3"/>
  <c r="Q23" i="3"/>
  <c r="P23" i="3"/>
  <c r="S23" i="3" s="1"/>
  <c r="Q25" i="3" l="1"/>
  <c r="P25" i="3"/>
  <c r="S25" i="3" s="1"/>
  <c r="Q24" i="3"/>
  <c r="P24" i="3"/>
  <c r="S24" i="3" s="1"/>
</calcChain>
</file>

<file path=xl/sharedStrings.xml><?xml version="1.0" encoding="utf-8"?>
<sst xmlns="http://schemas.openxmlformats.org/spreadsheetml/2006/main" count="1130" uniqueCount="192">
  <si>
    <t>1. (현행) _ 표준인건비 Band - 15</t>
    <phoneticPr fontId="3" type="noConversion"/>
  </si>
  <si>
    <t>고용구분</t>
    <phoneticPr fontId="7" type="noConversion"/>
  </si>
  <si>
    <t>통합등급</t>
    <phoneticPr fontId="7" type="noConversion"/>
  </si>
  <si>
    <t>연봉구간</t>
    <phoneticPr fontId="7" type="noConversion"/>
  </si>
  <si>
    <t>기준연봉</t>
    <phoneticPr fontId="8" type="noConversion"/>
  </si>
  <si>
    <t>표준인건비
(급여)</t>
    <phoneticPr fontId="3" type="noConversion"/>
  </si>
  <si>
    <t>SC계수</t>
    <phoneticPr fontId="3" type="noConversion"/>
  </si>
  <si>
    <t>PP Price(원가)</t>
    <phoneticPr fontId="3" type="noConversion"/>
  </si>
  <si>
    <t>Billing Price(판가)</t>
    <phoneticPr fontId="3" type="noConversion"/>
  </si>
  <si>
    <t>MIN(이상)</t>
    <phoneticPr fontId="7" type="noConversion"/>
  </si>
  <si>
    <t>MAX(미만)</t>
    <phoneticPr fontId="7" type="noConversion"/>
  </si>
  <si>
    <t>SI</t>
    <phoneticPr fontId="7" type="noConversion"/>
  </si>
  <si>
    <t>SM</t>
    <phoneticPr fontId="7" type="noConversion"/>
  </si>
  <si>
    <t>SI장기할인</t>
    <phoneticPr fontId="3" type="noConversion"/>
  </si>
  <si>
    <t>SI 장기할인</t>
    <phoneticPr fontId="3" type="noConversion"/>
  </si>
  <si>
    <t>정규/기간제
(SC 1.7)</t>
    <phoneticPr fontId="3" type="noConversion"/>
  </si>
  <si>
    <t>B-01</t>
  </si>
  <si>
    <t>B-02</t>
  </si>
  <si>
    <t>B-03</t>
  </si>
  <si>
    <t>B-04</t>
  </si>
  <si>
    <t>B-05</t>
  </si>
  <si>
    <t>B-06</t>
  </si>
  <si>
    <t>B-07</t>
    <phoneticPr fontId="3" type="noConversion"/>
  </si>
  <si>
    <t>B-08</t>
  </si>
  <si>
    <t>B-09</t>
  </si>
  <si>
    <t>B-10</t>
  </si>
  <si>
    <t>B-11</t>
  </si>
  <si>
    <t>B-12</t>
  </si>
  <si>
    <t>B-13</t>
  </si>
  <si>
    <t>B-14</t>
  </si>
  <si>
    <t>B-15</t>
  </si>
  <si>
    <t>임원
(SC 1.7)</t>
    <phoneticPr fontId="3" type="noConversion"/>
  </si>
  <si>
    <t>E-01</t>
    <phoneticPr fontId="3" type="noConversion"/>
  </si>
  <si>
    <t>상무</t>
  </si>
  <si>
    <t>E-02</t>
    <phoneticPr fontId="3" type="noConversion"/>
  </si>
  <si>
    <t>전무</t>
  </si>
  <si>
    <t>E-03</t>
    <phoneticPr fontId="3" type="noConversion"/>
  </si>
  <si>
    <t>부사장</t>
  </si>
  <si>
    <t>계약(C)
 / 1년 미만
(SC 1.3)</t>
    <phoneticPr fontId="3" type="noConversion"/>
  </si>
  <si>
    <t>PJ(C)-계약01</t>
  </si>
  <si>
    <t>PJ(C)-계약02</t>
  </si>
  <si>
    <t>PJ(C)-계약03</t>
  </si>
  <si>
    <t>PJ(C)-계약04</t>
  </si>
  <si>
    <t>PJ(C)-계약05</t>
  </si>
  <si>
    <t>PJ(C)-계약06</t>
  </si>
  <si>
    <t>PJ(C)-계약07</t>
  </si>
  <si>
    <t>PJ(C)-계약08</t>
  </si>
  <si>
    <t>PJ(C)-계약09</t>
  </si>
  <si>
    <t>PJ(C)-계약10</t>
  </si>
  <si>
    <t>PJ(C)-계약11</t>
  </si>
  <si>
    <t>PJ(C)-계약12</t>
  </si>
  <si>
    <t>PJ(C)-계약13</t>
  </si>
  <si>
    <t>PJ(C)-계약14</t>
  </si>
  <si>
    <t>PJ(C)-계약15</t>
  </si>
  <si>
    <t>계약(B) 
/ 1년 이상
(SC 1.4)</t>
    <phoneticPr fontId="3" type="noConversion"/>
  </si>
  <si>
    <t>PJ(B)-계약01</t>
  </si>
  <si>
    <t>PJ(B)-계약02</t>
  </si>
  <si>
    <t>PJ(B)-계약03</t>
  </si>
  <si>
    <t>PJ(B)-계약04</t>
  </si>
  <si>
    <t>PJ(B)-계약05</t>
  </si>
  <si>
    <t>PJ(B)-계약06</t>
  </si>
  <si>
    <t>PJ(B)-계약07</t>
  </si>
  <si>
    <t>PJ(B)-계약08</t>
  </si>
  <si>
    <t>PJ(B)-계약09</t>
  </si>
  <si>
    <t>PJ(B)-계약10</t>
  </si>
  <si>
    <t>PJ(B)-계약11</t>
  </si>
  <si>
    <t>PJ(B)-계약12</t>
  </si>
  <si>
    <t>PJ(B)-계약13</t>
  </si>
  <si>
    <t>PJ(B)-계약14</t>
  </si>
  <si>
    <t>PJ(B)-계약15</t>
  </si>
  <si>
    <t>기준값 일괄 조정 적용</t>
    <phoneticPr fontId="3" type="noConversion"/>
  </si>
  <si>
    <t>고용구분</t>
  </si>
  <si>
    <t>구간
Range</t>
    <phoneticPr fontId="8" type="noConversion"/>
  </si>
  <si>
    <t>월 급여
(급여+수당)</t>
    <phoneticPr fontId="8" type="noConversion"/>
  </si>
  <si>
    <t>연차수당</t>
    <phoneticPr fontId="8" type="noConversion"/>
  </si>
  <si>
    <t>퇴직
충당금</t>
    <phoneticPr fontId="8" type="noConversion"/>
  </si>
  <si>
    <t>표준인건비</t>
    <phoneticPr fontId="3" type="noConversion"/>
  </si>
  <si>
    <t>정규/기간제</t>
    <phoneticPr fontId="3" type="noConversion"/>
  </si>
  <si>
    <t>B-08</t>
    <phoneticPr fontId="3" type="noConversion"/>
  </si>
  <si>
    <t>B-16</t>
  </si>
  <si>
    <t>B-17</t>
  </si>
  <si>
    <t>B-18</t>
  </si>
  <si>
    <t>B-19</t>
  </si>
  <si>
    <t>B-20</t>
  </si>
  <si>
    <t>임원</t>
  </si>
  <si>
    <t>Org</t>
  </si>
  <si>
    <t>Empl.ID</t>
  </si>
  <si>
    <t>HRIS ID</t>
  </si>
  <si>
    <t>Name</t>
  </si>
  <si>
    <t>Level</t>
  </si>
  <si>
    <t>Dist.Status</t>
  </si>
  <si>
    <t>Status</t>
  </si>
  <si>
    <t>SC/HC</t>
  </si>
  <si>
    <t>Entrance Date</t>
  </si>
  <si>
    <t>Retire Date</t>
  </si>
  <si>
    <t>Leave Start</t>
  </si>
  <si>
    <t>Leave End</t>
  </si>
  <si>
    <t>Type</t>
  </si>
  <si>
    <t>E4U솔루션 Group_MDL</t>
  </si>
  <si>
    <t>TBD0000562</t>
  </si>
  <si>
    <t>metanet</t>
  </si>
  <si>
    <t>E4U솔루션_TBD_과장1</t>
  </si>
  <si>
    <t>입사예정</t>
  </si>
  <si>
    <t>SC적용, HC포함</t>
  </si>
  <si>
    <t>TBD0000563</t>
  </si>
  <si>
    <t>E4U솔루션_TBD_대리1</t>
  </si>
  <si>
    <t>TBD0000559</t>
  </si>
  <si>
    <t>E4U솔루션_TBD_부장1</t>
  </si>
  <si>
    <t>TBD0000560</t>
  </si>
  <si>
    <t>E4U솔루션_TBD_부장2</t>
  </si>
  <si>
    <t>TBD0000561</t>
  </si>
  <si>
    <t>E4U솔루션_TBD_차장1</t>
  </si>
  <si>
    <t>B-07</t>
  </si>
  <si>
    <t>공귀복</t>
  </si>
  <si>
    <t>재직</t>
  </si>
  <si>
    <t>정규직</t>
  </si>
  <si>
    <t>교육플랫폼 Group_MDL</t>
  </si>
  <si>
    <t>TBD0000558</t>
  </si>
  <si>
    <t>교육플랫폼_TBD_부장1</t>
  </si>
  <si>
    <t>TBD0000556</t>
  </si>
  <si>
    <t>교육플랫폼_TBD_이사1</t>
  </si>
  <si>
    <t>TBD0000557</t>
  </si>
  <si>
    <t>교육플랫폼_TBD_이사2</t>
  </si>
  <si>
    <t>ECM 개발팀_MDL</t>
  </si>
  <si>
    <t>구다은</t>
  </si>
  <si>
    <t>구중근</t>
  </si>
  <si>
    <t>김계환</t>
  </si>
  <si>
    <t>김동희</t>
  </si>
  <si>
    <t>김병승</t>
  </si>
  <si>
    <t>김성우</t>
  </si>
  <si>
    <t>김우경</t>
  </si>
  <si>
    <t>나봉수</t>
  </si>
  <si>
    <t>계약(PJ_B)</t>
  </si>
  <si>
    <t>ECM 영업팀_MDL</t>
  </si>
  <si>
    <t>남현주</t>
  </si>
  <si>
    <t>문태준</t>
  </si>
  <si>
    <t>문혜리</t>
  </si>
  <si>
    <t>박경대</t>
  </si>
  <si>
    <t>박경수</t>
  </si>
  <si>
    <t>박지성</t>
  </si>
  <si>
    <t>서진휘</t>
  </si>
  <si>
    <t>손성규</t>
  </si>
  <si>
    <t>송현아</t>
  </si>
  <si>
    <t>안세영</t>
  </si>
  <si>
    <t>안재엽</t>
  </si>
  <si>
    <t>안중호</t>
  </si>
  <si>
    <t>안지현</t>
  </si>
  <si>
    <t>E-01</t>
  </si>
  <si>
    <t>우성훈</t>
  </si>
  <si>
    <t>유국화</t>
  </si>
  <si>
    <t>유명기</t>
  </si>
  <si>
    <t>유병민</t>
  </si>
  <si>
    <t>윤동근</t>
  </si>
  <si>
    <t>윤성훈</t>
  </si>
  <si>
    <t>윤종문</t>
  </si>
  <si>
    <t>이강일</t>
  </si>
  <si>
    <t>이남기</t>
  </si>
  <si>
    <t>이상린</t>
  </si>
  <si>
    <t>이서현</t>
  </si>
  <si>
    <t>이소정</t>
  </si>
  <si>
    <t>이수형</t>
  </si>
  <si>
    <t>이재우</t>
  </si>
  <si>
    <t>이지희</t>
  </si>
  <si>
    <t>ECM Business Unit_MDL</t>
  </si>
  <si>
    <t>이진일</t>
  </si>
  <si>
    <t>E-02</t>
  </si>
  <si>
    <t>이창현</t>
  </si>
  <si>
    <t>장명완</t>
  </si>
  <si>
    <t>전인성</t>
  </si>
  <si>
    <t>정봉경</t>
  </si>
  <si>
    <t>정석준</t>
  </si>
  <si>
    <t>정용섭</t>
  </si>
  <si>
    <t>정효재</t>
  </si>
  <si>
    <t>조광철</t>
  </si>
  <si>
    <t>조민주</t>
  </si>
  <si>
    <t>조아람</t>
  </si>
  <si>
    <t>주민탁</t>
  </si>
  <si>
    <t>주형준</t>
  </si>
  <si>
    <t>진유래</t>
  </si>
  <si>
    <t>최영선</t>
  </si>
  <si>
    <t>최준혁</t>
  </si>
  <si>
    <t>최하연</t>
  </si>
  <si>
    <t>하승석</t>
  </si>
  <si>
    <t>SC금액</t>
    <phoneticPr fontId="3" type="noConversion"/>
  </si>
  <si>
    <t>0990359</t>
    <phoneticPr fontId="3" type="noConversion"/>
  </si>
  <si>
    <t>0190653</t>
    <phoneticPr fontId="3" type="noConversion"/>
  </si>
  <si>
    <t>0190593</t>
    <phoneticPr fontId="3" type="noConversion"/>
  </si>
  <si>
    <t>0891017</t>
    <phoneticPr fontId="3" type="noConversion"/>
  </si>
  <si>
    <t>0694799</t>
    <phoneticPr fontId="3" type="noConversion"/>
  </si>
  <si>
    <t>0190145</t>
    <phoneticPr fontId="3" type="noConversion"/>
  </si>
  <si>
    <t>김관성</t>
  </si>
  <si>
    <t>김성우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</si>
</sst>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#,"/>
    <numFmt numFmtId="177" formatCode="0.0%"/>
    <numFmt numFmtId="178" formatCode="#,##0,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9.5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9.5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39FDF8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9" fillId="0" borderId="0"/>
    <xf numFmtId="41" fontId="9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12" fillId="3" borderId="1" xfId="2" applyFont="1" applyFill="1" applyBorder="1" applyAlignment="1">
      <alignment horizontal="center" vertical="center"/>
    </xf>
    <xf numFmtId="9" fontId="12" fillId="3" borderId="1" xfId="3" applyNumberFormat="1" applyFont="1" applyFill="1" applyBorder="1" applyAlignment="1">
      <alignment horizontal="center" vertical="center"/>
    </xf>
    <xf numFmtId="0" fontId="14" fillId="4" borderId="2" xfId="2" applyFont="1" applyFill="1" applyBorder="1" applyAlignment="1">
      <alignment horizontal="center" vertical="center" wrapText="1"/>
    </xf>
    <xf numFmtId="176" fontId="15" fillId="4" borderId="2" xfId="4" applyNumberFormat="1" applyFont="1" applyFill="1" applyBorder="1" applyAlignment="1">
      <alignment vertical="center" wrapText="1"/>
    </xf>
    <xf numFmtId="176" fontId="16" fillId="4" borderId="2" xfId="2" applyNumberFormat="1" applyFont="1" applyFill="1" applyBorder="1" applyAlignment="1">
      <alignment vertical="center" wrapText="1"/>
    </xf>
    <xf numFmtId="176" fontId="17" fillId="4" borderId="2" xfId="2" applyNumberFormat="1" applyFont="1" applyFill="1" applyBorder="1" applyAlignment="1">
      <alignment vertical="center" wrapText="1"/>
    </xf>
    <xf numFmtId="0" fontId="14" fillId="4" borderId="3" xfId="2" applyFont="1" applyFill="1" applyBorder="1" applyAlignment="1">
      <alignment horizontal="center" vertical="center" wrapText="1"/>
    </xf>
    <xf numFmtId="176" fontId="15" fillId="4" borderId="3" xfId="4" applyNumberFormat="1" applyFont="1" applyFill="1" applyBorder="1" applyAlignment="1">
      <alignment vertical="center" wrapText="1"/>
    </xf>
    <xf numFmtId="176" fontId="16" fillId="4" borderId="3" xfId="2" applyNumberFormat="1" applyFont="1" applyFill="1" applyBorder="1" applyAlignment="1">
      <alignment vertical="center" wrapText="1"/>
    </xf>
    <xf numFmtId="176" fontId="17" fillId="4" borderId="3" xfId="2" applyNumberFormat="1" applyFont="1" applyFill="1" applyBorder="1" applyAlignment="1">
      <alignment vertical="center" wrapText="1"/>
    </xf>
    <xf numFmtId="0" fontId="14" fillId="4" borderId="4" xfId="2" applyFont="1" applyFill="1" applyBorder="1" applyAlignment="1">
      <alignment horizontal="center" vertical="center" wrapText="1"/>
    </xf>
    <xf numFmtId="176" fontId="15" fillId="4" borderId="4" xfId="4" applyNumberFormat="1" applyFont="1" applyFill="1" applyBorder="1" applyAlignment="1">
      <alignment vertical="center" wrapText="1"/>
    </xf>
    <xf numFmtId="176" fontId="16" fillId="4" borderId="4" xfId="2" applyNumberFormat="1" applyFont="1" applyFill="1" applyBorder="1" applyAlignment="1">
      <alignment vertical="center" wrapText="1"/>
    </xf>
    <xf numFmtId="176" fontId="17" fillId="4" borderId="4" xfId="2" applyNumberFormat="1" applyFont="1" applyFill="1" applyBorder="1" applyAlignment="1">
      <alignment vertical="center" wrapText="1"/>
    </xf>
    <xf numFmtId="176" fontId="15" fillId="4" borderId="2" xfId="4" applyNumberFormat="1" applyFont="1" applyFill="1" applyBorder="1" applyAlignment="1">
      <alignment horizontal="center" vertical="center" wrapText="1"/>
    </xf>
    <xf numFmtId="176" fontId="16" fillId="4" borderId="2" xfId="2" applyNumberFormat="1" applyFont="1" applyFill="1" applyBorder="1" applyAlignment="1">
      <alignment horizontal="center" vertical="center" wrapText="1"/>
    </xf>
    <xf numFmtId="176" fontId="15" fillId="4" borderId="3" xfId="4" applyNumberFormat="1" applyFont="1" applyFill="1" applyBorder="1" applyAlignment="1">
      <alignment horizontal="center" vertical="center" wrapText="1"/>
    </xf>
    <xf numFmtId="176" fontId="16" fillId="4" borderId="3" xfId="2" applyNumberFormat="1" applyFont="1" applyFill="1" applyBorder="1" applyAlignment="1">
      <alignment horizontal="center" vertical="center" wrapText="1"/>
    </xf>
    <xf numFmtId="176" fontId="15" fillId="4" borderId="4" xfId="4" applyNumberFormat="1" applyFont="1" applyFill="1" applyBorder="1" applyAlignment="1">
      <alignment horizontal="center" vertical="center" wrapText="1"/>
    </xf>
    <xf numFmtId="176" fontId="16" fillId="4" borderId="4" xfId="2" applyNumberFormat="1" applyFont="1" applyFill="1" applyBorder="1" applyAlignment="1">
      <alignment horizontal="center" vertical="center" wrapText="1"/>
    </xf>
    <xf numFmtId="176" fontId="16" fillId="4" borderId="3" xfId="1" applyNumberFormat="1" applyFont="1" applyFill="1" applyBorder="1" applyAlignment="1">
      <alignment vertical="center" wrapText="1"/>
    </xf>
    <xf numFmtId="176" fontId="16" fillId="4" borderId="2" xfId="1" applyNumberFormat="1" applyFont="1" applyFill="1" applyBorder="1" applyAlignment="1">
      <alignment vertical="center" wrapText="1"/>
    </xf>
    <xf numFmtId="176" fontId="16" fillId="4" borderId="4" xfId="1" applyNumberFormat="1" applyFont="1" applyFill="1" applyBorder="1" applyAlignment="1">
      <alignment vertical="center" wrapText="1"/>
    </xf>
    <xf numFmtId="0" fontId="18" fillId="0" borderId="0" xfId="0" applyFont="1">
      <alignment vertical="center"/>
    </xf>
    <xf numFmtId="0" fontId="2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horizontal="left" vertical="center" indent="1"/>
    </xf>
    <xf numFmtId="177" fontId="20" fillId="7" borderId="6" xfId="0" applyNumberFormat="1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9" fontId="22" fillId="9" borderId="6" xfId="0" applyNumberFormat="1" applyFont="1" applyFill="1" applyBorder="1" applyAlignment="1">
      <alignment horizontal="center" vertical="center"/>
    </xf>
    <xf numFmtId="9" fontId="22" fillId="9" borderId="7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14" fillId="10" borderId="1" xfId="2" applyFont="1" applyFill="1" applyBorder="1" applyAlignment="1">
      <alignment horizontal="center" vertical="center"/>
    </xf>
    <xf numFmtId="9" fontId="10" fillId="3" borderId="1" xfId="3" applyNumberFormat="1" applyFont="1" applyFill="1" applyBorder="1" applyAlignment="1">
      <alignment horizontal="center" vertical="center"/>
    </xf>
    <xf numFmtId="9" fontId="10" fillId="3" borderId="15" xfId="3" applyNumberFormat="1" applyFont="1" applyFill="1" applyBorder="1" applyAlignment="1">
      <alignment horizontal="center" vertical="center"/>
    </xf>
    <xf numFmtId="9" fontId="10" fillId="3" borderId="16" xfId="3" applyNumberFormat="1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 wrapText="1"/>
    </xf>
    <xf numFmtId="176" fontId="24" fillId="0" borderId="1" xfId="4" applyNumberFormat="1" applyFont="1" applyFill="1" applyBorder="1" applyAlignment="1">
      <alignment horizontal="center" vertical="center" wrapText="1"/>
    </xf>
    <xf numFmtId="176" fontId="23" fillId="0" borderId="1" xfId="2" applyNumberFormat="1" applyFont="1" applyBorder="1" applyAlignment="1">
      <alignment horizontal="center" vertical="center" wrapText="1"/>
    </xf>
    <xf numFmtId="176" fontId="23" fillId="0" borderId="1" xfId="2" applyNumberFormat="1" applyFont="1" applyBorder="1" applyAlignment="1">
      <alignment horizontal="right" vertical="center" wrapText="1"/>
    </xf>
    <xf numFmtId="176" fontId="17" fillId="0" borderId="1" xfId="0" applyNumberFormat="1" applyFont="1" applyBorder="1">
      <alignment vertical="center"/>
    </xf>
    <xf numFmtId="178" fontId="14" fillId="9" borderId="1" xfId="1" applyNumberFormat="1" applyFont="1" applyFill="1" applyBorder="1" applyAlignment="1">
      <alignment horizontal="center" vertical="center" wrapText="1"/>
    </xf>
    <xf numFmtId="176" fontId="16" fillId="0" borderId="1" xfId="2" applyNumberFormat="1" applyFont="1" applyBorder="1" applyAlignment="1">
      <alignment horizontal="center" vertical="center" wrapText="1"/>
    </xf>
    <xf numFmtId="176" fontId="16" fillId="0" borderId="15" xfId="2" applyNumberFormat="1" applyFont="1" applyBorder="1" applyAlignment="1">
      <alignment horizontal="center" vertical="center" wrapText="1"/>
    </xf>
    <xf numFmtId="176" fontId="16" fillId="0" borderId="16" xfId="2" applyNumberFormat="1" applyFont="1" applyBorder="1" applyAlignment="1">
      <alignment horizontal="center" vertical="center" wrapText="1"/>
    </xf>
    <xf numFmtId="178" fontId="0" fillId="0" borderId="0" xfId="0" applyNumberFormat="1">
      <alignment vertical="center"/>
    </xf>
    <xf numFmtId="176" fontId="25" fillId="0" borderId="1" xfId="4" applyNumberFormat="1" applyFont="1" applyFill="1" applyBorder="1" applyAlignment="1">
      <alignment horizontal="center" vertical="center" wrapText="1"/>
    </xf>
    <xf numFmtId="176" fontId="24" fillId="11" borderId="1" xfId="4" applyNumberFormat="1" applyFont="1" applyFill="1" applyBorder="1" applyAlignment="1">
      <alignment horizontal="center" vertical="center" wrapText="1"/>
    </xf>
    <xf numFmtId="176" fontId="25" fillId="11" borderId="1" xfId="4" applyNumberFormat="1" applyFont="1" applyFill="1" applyBorder="1" applyAlignment="1">
      <alignment horizontal="center" vertical="center" wrapText="1"/>
    </xf>
    <xf numFmtId="176" fontId="16" fillId="11" borderId="1" xfId="2" applyNumberFormat="1" applyFont="1" applyFill="1" applyBorder="1" applyAlignment="1">
      <alignment horizontal="center" vertical="center" wrapText="1"/>
    </xf>
    <xf numFmtId="176" fontId="16" fillId="11" borderId="1" xfId="2" applyNumberFormat="1" applyFont="1" applyFill="1" applyBorder="1" applyAlignment="1">
      <alignment horizontal="right" vertical="center" wrapText="1"/>
    </xf>
    <xf numFmtId="176" fontId="17" fillId="11" borderId="1" xfId="0" applyNumberFormat="1" applyFont="1" applyFill="1" applyBorder="1">
      <alignment vertical="center"/>
    </xf>
    <xf numFmtId="0" fontId="14" fillId="11" borderId="1" xfId="2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8" fontId="14" fillId="12" borderId="1" xfId="1" applyNumberFormat="1" applyFont="1" applyFill="1" applyBorder="1" applyAlignment="1">
      <alignment horizontal="center" vertical="center" wrapText="1"/>
    </xf>
    <xf numFmtId="0" fontId="14" fillId="0" borderId="24" xfId="2" applyFont="1" applyBorder="1" applyAlignment="1">
      <alignment horizontal="center" vertical="center" wrapText="1"/>
    </xf>
    <xf numFmtId="176" fontId="24" fillId="0" borderId="24" xfId="4" applyNumberFormat="1" applyFont="1" applyFill="1" applyBorder="1" applyAlignment="1">
      <alignment horizontal="center" vertical="center" wrapText="1"/>
    </xf>
    <xf numFmtId="176" fontId="23" fillId="0" borderId="24" xfId="2" applyNumberFormat="1" applyFont="1" applyBorder="1" applyAlignment="1">
      <alignment horizontal="center" vertical="center" wrapText="1"/>
    </xf>
    <xf numFmtId="176" fontId="23" fillId="0" borderId="24" xfId="2" applyNumberFormat="1" applyFont="1" applyBorder="1" applyAlignment="1">
      <alignment horizontal="right" vertical="center" wrapText="1"/>
    </xf>
    <xf numFmtId="176" fontId="17" fillId="0" borderId="24" xfId="0" applyNumberFormat="1" applyFont="1" applyBorder="1">
      <alignment vertical="center"/>
    </xf>
    <xf numFmtId="178" fontId="14" fillId="9" borderId="24" xfId="1" applyNumberFormat="1" applyFont="1" applyFill="1" applyBorder="1" applyAlignment="1">
      <alignment horizontal="center" vertical="center" wrapText="1"/>
    </xf>
    <xf numFmtId="176" fontId="16" fillId="0" borderId="24" xfId="2" applyNumberFormat="1" applyFont="1" applyBorder="1" applyAlignment="1">
      <alignment horizontal="center" vertical="center" wrapText="1"/>
    </xf>
    <xf numFmtId="176" fontId="16" fillId="0" borderId="25" xfId="2" applyNumberFormat="1" applyFont="1" applyBorder="1" applyAlignment="1">
      <alignment horizontal="center" vertical="center" wrapText="1"/>
    </xf>
    <xf numFmtId="176" fontId="16" fillId="0" borderId="26" xfId="2" applyNumberFormat="1" applyFont="1" applyBorder="1" applyAlignment="1">
      <alignment horizontal="center" vertical="center" wrapText="1"/>
    </xf>
    <xf numFmtId="0" fontId="0" fillId="0" borderId="0" xfId="0" applyAlignment="1"/>
    <xf numFmtId="14" fontId="0" fillId="0" borderId="0" xfId="0" applyNumberFormat="1" applyAlignment="1"/>
    <xf numFmtId="41" fontId="0" fillId="0" borderId="0" xfId="1" applyFont="1" applyAlignment="1"/>
    <xf numFmtId="0" fontId="0" fillId="7" borderId="0" xfId="0" applyFill="1" applyAlignment="1"/>
    <xf numFmtId="14" fontId="0" fillId="7" borderId="0" xfId="0" applyNumberFormat="1" applyFill="1" applyAlignment="1">
      <alignment horizontal="center"/>
    </xf>
    <xf numFmtId="49" fontId="0" fillId="0" borderId="0" xfId="0" applyNumberFormat="1" applyAlignment="1"/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 wrapText="1"/>
    </xf>
    <xf numFmtId="0" fontId="11" fillId="3" borderId="1" xfId="3" applyFont="1" applyFill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4" fillId="10" borderId="9" xfId="3" applyFont="1" applyFill="1" applyBorder="1" applyAlignment="1">
      <alignment horizontal="center" vertical="center" wrapText="1"/>
    </xf>
    <xf numFmtId="0" fontId="14" fillId="10" borderId="1" xfId="3" applyFont="1" applyFill="1" applyBorder="1" applyAlignment="1">
      <alignment horizontal="center" vertical="center" wrapText="1"/>
    </xf>
    <xf numFmtId="0" fontId="14" fillId="10" borderId="9" xfId="2" applyFont="1" applyFill="1" applyBorder="1" applyAlignment="1">
      <alignment horizontal="center" vertical="center"/>
    </xf>
    <xf numFmtId="0" fontId="14" fillId="10" borderId="1" xfId="2" applyFont="1" applyFill="1" applyBorder="1" applyAlignment="1">
      <alignment horizontal="center" vertical="center"/>
    </xf>
    <xf numFmtId="0" fontId="10" fillId="10" borderId="10" xfId="3" applyFont="1" applyFill="1" applyBorder="1" applyAlignment="1">
      <alignment horizontal="center" vertical="center" wrapText="1"/>
    </xf>
    <xf numFmtId="0" fontId="10" fillId="10" borderId="14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/>
    </xf>
    <xf numFmtId="0" fontId="10" fillId="3" borderId="11" xfId="3" applyFont="1" applyFill="1" applyBorder="1" applyAlignment="1">
      <alignment horizontal="center" vertical="center"/>
    </xf>
    <xf numFmtId="0" fontId="10" fillId="3" borderId="9" xfId="3" applyFont="1" applyFill="1" applyBorder="1" applyAlignment="1">
      <alignment horizontal="center" vertical="center" wrapText="1"/>
    </xf>
    <xf numFmtId="0" fontId="10" fillId="3" borderId="12" xfId="3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/>
    </xf>
    <xf numFmtId="0" fontId="14" fillId="10" borderId="8" xfId="2" applyFont="1" applyFill="1" applyBorder="1" applyAlignment="1">
      <alignment horizontal="center" vertical="center"/>
    </xf>
    <xf numFmtId="0" fontId="14" fillId="10" borderId="13" xfId="2" applyFont="1" applyFill="1" applyBorder="1" applyAlignment="1">
      <alignment horizontal="center" vertical="center"/>
    </xf>
    <xf numFmtId="0" fontId="14" fillId="10" borderId="9" xfId="2" applyFont="1" applyFill="1" applyBorder="1" applyAlignment="1">
      <alignment horizontal="center" vertical="center" wrapText="1"/>
    </xf>
  </cellXfs>
  <cellStyles count="5">
    <cellStyle name="쉼표 [0]" xfId="1" builtinId="6"/>
    <cellStyle name="쉼표 [0] 6 2" xfId="4" xr:uid="{7B41BC05-99B2-43DD-9F89-4ECAD394F2F8}"/>
    <cellStyle name="표준" xfId="0" builtinId="0"/>
    <cellStyle name="표준 2 3 2" xfId="2" xr:uid="{1262AC90-0526-43A6-91E1-11017BBE11F6}"/>
    <cellStyle name="표준 3 2 2" xfId="3" xr:uid="{D98FCB8F-58F9-49DD-A756-62F262BDDFCF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wajin\20180728_&#44305;&#54868;&#47928;D1&#53440;&#50892;\chapters\chap03\array%20exampl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tanet\AppData\Local\Microsoft\Windows\INetCache\Content.Outlook\3387VBHJ\SKL+MD%20ApplyAI_PRBv1.0.xlsx" TargetMode="External"/><Relationship Id="rId1" Type="http://schemas.openxmlformats.org/officeDocument/2006/relationships/externalLinkPath" Target="file:///C:\Users\Metanet\AppData\Local\Microsoft\Windows\INetCache\Content.Outlook\3387VBHJ\SKL+MD%20ApplyAI_PRBv1.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2&#50900;\2015&#45380;%202&#50900;%20CR&#51064;&#44148;&#48708;_20150312(&#51089;&#50629;&#50857;v1.0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45824;&#47548;&#53076;&#54140;&#47112;&#51060;&#49496;%20&#44148;&#49444;&#51221;&#48372;&#51648;&#51216;/2018&#45380;/0517_D1&#53440;&#50892;%2013&#52789;%20SSBR%20&#49324;&#50629;&#54016;,&#49324;&#50629;&#51452;%20&#53685;&#49888;&#44277;&#49324;.xls" TargetMode="External"/><Relationship Id="rId1" Type="http://schemas.openxmlformats.org/officeDocument/2006/relationships/externalLinkPath" Target="/&#45824;&#47548;&#53076;&#54140;&#47112;&#51060;&#49496;%20&#44148;&#49444;&#51221;&#48372;&#51648;&#51216;/2018&#45380;/0517_D1&#53440;&#50892;%2013&#52789;%20SSBR%20&#49324;&#50629;&#54016;,&#49324;&#50629;&#51452;%20&#53685;&#49888;&#44277;&#493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4&#50900;\2015&#45380;%207&#50900;%20CR&#51064;&#44148;&#48708;_20150730(&#51089;&#50629;&#50857;_V1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-park\&#44204;&#51201;&#49436;2011\chapters\chap03\array%20examp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52.149.47.12\01.payroll\01.%20&#44553;&#50668;&#44288;&#47532;\04.%20&#44592;&#53440;(&#50836;&#52397;&#51088;&#47308;)\&#9733;&#9733;&#44221;&#50689;&#44592;&#54925;&#54016;%20-%20CR%20Target\2015&#45380;\4&#50900;\2015&#45380;%207&#50900;%20CR&#51064;&#44148;&#48708;_20150730(&#51089;&#50629;&#50857;_V1.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Constants"/>
      <sheetName val="ValueInList"/>
      <sheetName val="CountLetters"/>
      <sheetName val="MaxMin_Change"/>
      <sheetName val="Sum of Digits"/>
      <sheetName val="Sum Every Nth"/>
      <sheetName val="Ranking"/>
      <sheetName val="Discrete_Distribution"/>
      <sheetName val="Nondiscrete_Distribution"/>
      <sheetName val="Crosstab"/>
      <sheetName val="Calendar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Guide"/>
      <sheetName val="PRB1"/>
      <sheetName val="Oppt Summary"/>
      <sheetName val="Qualification"/>
      <sheetName val="Financial Summary"/>
      <sheetName val="Power Map"/>
      <sheetName val="수주전략"/>
      <sheetName val="자사인력"/>
      <sheetName val="Rate"/>
      <sheetName val="외주인력"/>
      <sheetName val="재료비"/>
      <sheetName val="SKL-Expense"/>
      <sheetName val="MD-Expense"/>
      <sheetName val="미사용_Admin_Contingency"/>
      <sheetName val="Reference"/>
      <sheetName val="SOW "/>
      <sheetName val="수행 조직"/>
      <sheetName val="SOW_R&amp;R"/>
      <sheetName val="견적서"/>
      <sheetName val="Commercial Assumption"/>
      <sheetName val="Financial Delta"/>
    </sheetNames>
    <sheetDataSet>
      <sheetData sheetId="0"/>
      <sheetData sheetId="1"/>
      <sheetData sheetId="2"/>
      <sheetData sheetId="3"/>
      <sheetData sheetId="4"/>
      <sheetData sheetId="5">
        <row r="17">
          <cell r="E17">
            <v>1991500000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피벗"/>
      <sheetName val="금융사업팀"/>
      <sheetName val="경영기획팀  전송"/>
      <sheetName val="건재순"/>
      <sheetName val="표준인건비"/>
      <sheetName val="Sheet3"/>
      <sheetName val="Sheet2"/>
      <sheetName val="based data_wacc"/>
    </sheetNames>
    <sheetDataSet>
      <sheetData sheetId="0">
        <row r="1">
          <cell r="D1" t="str">
            <v>사번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구분</v>
          </cell>
          <cell r="C1" t="str">
            <v>표준인건비(급여+IPI+연차+퇴충)</v>
          </cell>
          <cell r="D1" t="str">
            <v>금액</v>
          </cell>
          <cell r="E1" t="str">
            <v>계수</v>
          </cell>
          <cell r="F1" t="str">
            <v>CR타켓</v>
          </cell>
        </row>
        <row r="2">
          <cell r="B2" t="str">
            <v>G5-임원</v>
          </cell>
          <cell r="C2">
            <v>9951</v>
          </cell>
          <cell r="D2">
            <v>9951000</v>
          </cell>
          <cell r="E2">
            <v>1.7</v>
          </cell>
          <cell r="F2">
            <v>16900000</v>
          </cell>
        </row>
        <row r="3">
          <cell r="B3" t="str">
            <v>G4-수석</v>
          </cell>
          <cell r="C3">
            <v>8283.9920157576034</v>
          </cell>
          <cell r="D3">
            <v>8283992.0157576036</v>
          </cell>
          <cell r="E3">
            <v>1.7</v>
          </cell>
          <cell r="F3">
            <v>14100000</v>
          </cell>
        </row>
        <row r="4">
          <cell r="B4" t="str">
            <v>G3-I</v>
          </cell>
          <cell r="C4">
            <v>6772.4319142156555</v>
          </cell>
          <cell r="D4">
            <v>6772431.9142156551</v>
          </cell>
          <cell r="E4">
            <v>1.7</v>
          </cell>
          <cell r="F4">
            <v>11500000</v>
          </cell>
        </row>
        <row r="5">
          <cell r="B5" t="str">
            <v>G3-II</v>
          </cell>
          <cell r="C5">
            <v>6018.1366435640575</v>
          </cell>
          <cell r="D5">
            <v>6018136.6435640575</v>
          </cell>
          <cell r="E5">
            <v>1.7</v>
          </cell>
          <cell r="F5">
            <v>10200000</v>
          </cell>
        </row>
        <row r="6">
          <cell r="B6" t="str">
            <v>G2-I</v>
          </cell>
          <cell r="C6">
            <v>4923</v>
          </cell>
          <cell r="D6">
            <v>4923000</v>
          </cell>
          <cell r="E6">
            <v>1.7</v>
          </cell>
          <cell r="F6">
            <v>8400000</v>
          </cell>
        </row>
        <row r="7">
          <cell r="B7" t="str">
            <v>G2-II</v>
          </cell>
          <cell r="C7">
            <v>4260</v>
          </cell>
          <cell r="D7">
            <v>4260000</v>
          </cell>
          <cell r="E7">
            <v>1.7</v>
          </cell>
          <cell r="F7">
            <v>7200000</v>
          </cell>
        </row>
        <row r="8">
          <cell r="B8" t="str">
            <v>G1-I</v>
          </cell>
          <cell r="C8">
            <v>3539</v>
          </cell>
          <cell r="D8">
            <v>3539000</v>
          </cell>
          <cell r="E8">
            <v>1.7</v>
          </cell>
          <cell r="F8">
            <v>6000000</v>
          </cell>
        </row>
        <row r="9">
          <cell r="B9" t="str">
            <v>G1-II</v>
          </cell>
          <cell r="C9">
            <v>3108</v>
          </cell>
          <cell r="D9">
            <v>3108000</v>
          </cell>
          <cell r="E9">
            <v>1.7</v>
          </cell>
          <cell r="F9">
            <v>5300000</v>
          </cell>
        </row>
        <row r="10">
          <cell r="B10" t="str">
            <v>G1-III</v>
          </cell>
          <cell r="C10">
            <v>2665</v>
          </cell>
          <cell r="D10">
            <v>2665000</v>
          </cell>
          <cell r="E10">
            <v>1.7</v>
          </cell>
          <cell r="F10">
            <v>4500000</v>
          </cell>
        </row>
        <row r="11">
          <cell r="B11" t="str">
            <v>A Type 계약01</v>
          </cell>
          <cell r="C11">
            <v>1250</v>
          </cell>
          <cell r="D11">
            <v>1250000</v>
          </cell>
          <cell r="E11">
            <v>1.7</v>
          </cell>
          <cell r="F11">
            <v>2100000</v>
          </cell>
        </row>
        <row r="12">
          <cell r="B12" t="str">
            <v>A Type 계약02</v>
          </cell>
          <cell r="C12">
            <v>1458.3333333333333</v>
          </cell>
          <cell r="D12">
            <v>1458333.3333333333</v>
          </cell>
          <cell r="E12">
            <v>1.7</v>
          </cell>
          <cell r="F12">
            <v>2500000</v>
          </cell>
        </row>
        <row r="13">
          <cell r="B13" t="str">
            <v>A Type 계약03</v>
          </cell>
          <cell r="C13">
            <v>1875</v>
          </cell>
          <cell r="D13">
            <v>1875000</v>
          </cell>
          <cell r="E13">
            <v>1.7</v>
          </cell>
          <cell r="F13">
            <v>3200000</v>
          </cell>
        </row>
        <row r="14">
          <cell r="B14" t="str">
            <v>A Type 계약04</v>
          </cell>
          <cell r="C14">
            <v>2291.6666666666665</v>
          </cell>
          <cell r="D14">
            <v>2291666.6666666665</v>
          </cell>
          <cell r="E14">
            <v>1.7</v>
          </cell>
          <cell r="F14">
            <v>3900000</v>
          </cell>
        </row>
        <row r="15">
          <cell r="B15" t="str">
            <v>A Type 계약05</v>
          </cell>
          <cell r="C15">
            <v>2708.3333333333335</v>
          </cell>
          <cell r="D15">
            <v>2708333.3333333335</v>
          </cell>
          <cell r="E15">
            <v>1.7</v>
          </cell>
          <cell r="F15">
            <v>4600000</v>
          </cell>
        </row>
        <row r="16">
          <cell r="B16" t="str">
            <v>A Type 계약06</v>
          </cell>
          <cell r="C16">
            <v>3125</v>
          </cell>
          <cell r="D16">
            <v>3125000</v>
          </cell>
          <cell r="E16">
            <v>1.7</v>
          </cell>
          <cell r="F16">
            <v>5300000</v>
          </cell>
        </row>
        <row r="17">
          <cell r="B17" t="str">
            <v>A Type 계약07</v>
          </cell>
          <cell r="C17">
            <v>3750</v>
          </cell>
          <cell r="D17">
            <v>3750000</v>
          </cell>
          <cell r="E17">
            <v>1.7</v>
          </cell>
          <cell r="F17">
            <v>6400000</v>
          </cell>
        </row>
        <row r="18">
          <cell r="B18" t="str">
            <v>A Type 계약08</v>
          </cell>
          <cell r="C18">
            <v>4583.333333333333</v>
          </cell>
          <cell r="D18">
            <v>4583333.333333333</v>
          </cell>
          <cell r="E18">
            <v>1.7</v>
          </cell>
          <cell r="F18">
            <v>7800000</v>
          </cell>
        </row>
        <row r="19">
          <cell r="B19" t="str">
            <v>A Type 계약09</v>
          </cell>
          <cell r="C19">
            <v>5416.666666666667</v>
          </cell>
          <cell r="D19">
            <v>5416666.666666667</v>
          </cell>
          <cell r="E19">
            <v>1.7</v>
          </cell>
          <cell r="F19">
            <v>9200000</v>
          </cell>
        </row>
        <row r="20">
          <cell r="B20" t="str">
            <v>A Type 계약10</v>
          </cell>
          <cell r="C20">
            <v>6250</v>
          </cell>
          <cell r="D20">
            <v>6250000</v>
          </cell>
          <cell r="E20">
            <v>1.7</v>
          </cell>
          <cell r="F20">
            <v>10600000</v>
          </cell>
        </row>
        <row r="21">
          <cell r="B21" t="str">
            <v>A Type 계약11</v>
          </cell>
          <cell r="C21">
            <v>7083.333333333333</v>
          </cell>
          <cell r="D21">
            <v>7083333.333333333</v>
          </cell>
          <cell r="E21">
            <v>1.7</v>
          </cell>
          <cell r="F21">
            <v>12000000</v>
          </cell>
        </row>
        <row r="22">
          <cell r="B22" t="str">
            <v>A Type 계약12</v>
          </cell>
          <cell r="C22">
            <v>7916.666666666667</v>
          </cell>
          <cell r="D22">
            <v>7916666.666666667</v>
          </cell>
          <cell r="E22">
            <v>1.7</v>
          </cell>
          <cell r="F22">
            <v>13500000</v>
          </cell>
        </row>
        <row r="23">
          <cell r="B23" t="str">
            <v>A Type 계약13</v>
          </cell>
          <cell r="C23">
            <v>8333.3333333333339</v>
          </cell>
          <cell r="D23">
            <v>8333333.333333334</v>
          </cell>
          <cell r="E23">
            <v>1.7</v>
          </cell>
          <cell r="F23">
            <v>14200000</v>
          </cell>
        </row>
        <row r="24">
          <cell r="B24" t="str">
            <v>A Type 계약01</v>
          </cell>
          <cell r="C24">
            <v>1250</v>
          </cell>
          <cell r="D24">
            <v>1250000</v>
          </cell>
          <cell r="E24">
            <v>1.7</v>
          </cell>
          <cell r="F24">
            <v>2100000</v>
          </cell>
        </row>
        <row r="25">
          <cell r="B25" t="str">
            <v>A Type 계약02</v>
          </cell>
          <cell r="C25">
            <v>1458.3333333333333</v>
          </cell>
          <cell r="D25">
            <v>1458333.3333333333</v>
          </cell>
          <cell r="E25">
            <v>1.7</v>
          </cell>
          <cell r="F25">
            <v>2500000</v>
          </cell>
        </row>
        <row r="26">
          <cell r="B26" t="str">
            <v>A Type 계약03</v>
          </cell>
          <cell r="C26">
            <v>1875</v>
          </cell>
          <cell r="D26">
            <v>1875000</v>
          </cell>
          <cell r="E26">
            <v>1.7</v>
          </cell>
          <cell r="F26">
            <v>3200000</v>
          </cell>
        </row>
        <row r="27">
          <cell r="B27" t="str">
            <v>A Type 계약04</v>
          </cell>
          <cell r="C27">
            <v>2291.6666666666665</v>
          </cell>
          <cell r="D27">
            <v>2291666.6666666665</v>
          </cell>
          <cell r="E27">
            <v>1.7</v>
          </cell>
          <cell r="F27">
            <v>3900000</v>
          </cell>
        </row>
        <row r="28">
          <cell r="B28" t="str">
            <v>A Type 계약05</v>
          </cell>
          <cell r="C28">
            <v>2708.3333333333335</v>
          </cell>
          <cell r="D28">
            <v>2708333.3333333335</v>
          </cell>
          <cell r="E28">
            <v>1.7</v>
          </cell>
          <cell r="F28">
            <v>4600000</v>
          </cell>
        </row>
        <row r="29">
          <cell r="B29" t="str">
            <v>A Type 계약06</v>
          </cell>
          <cell r="C29">
            <v>3125</v>
          </cell>
          <cell r="D29">
            <v>3125000</v>
          </cell>
          <cell r="E29">
            <v>1.7</v>
          </cell>
          <cell r="F29">
            <v>5300000</v>
          </cell>
        </row>
        <row r="30">
          <cell r="B30" t="str">
            <v>A Type 계약07</v>
          </cell>
          <cell r="C30">
            <v>3750</v>
          </cell>
          <cell r="D30">
            <v>3750000</v>
          </cell>
          <cell r="E30">
            <v>1.7</v>
          </cell>
          <cell r="F30">
            <v>6400000</v>
          </cell>
        </row>
        <row r="31">
          <cell r="B31" t="str">
            <v>A Type 계약08</v>
          </cell>
          <cell r="C31">
            <v>4583.333333333333</v>
          </cell>
          <cell r="D31">
            <v>4583333.333333333</v>
          </cell>
          <cell r="E31">
            <v>1.7</v>
          </cell>
          <cell r="F31">
            <v>7800000</v>
          </cell>
        </row>
        <row r="32">
          <cell r="B32" t="str">
            <v>A Type 계약09</v>
          </cell>
          <cell r="C32">
            <v>5416.666666666667</v>
          </cell>
          <cell r="D32">
            <v>5416666.666666667</v>
          </cell>
          <cell r="E32">
            <v>1.7</v>
          </cell>
          <cell r="F32">
            <v>9200000</v>
          </cell>
        </row>
        <row r="33">
          <cell r="B33" t="str">
            <v>A Type 계약10</v>
          </cell>
          <cell r="C33">
            <v>6250</v>
          </cell>
          <cell r="D33">
            <v>6250000</v>
          </cell>
          <cell r="E33">
            <v>1.7</v>
          </cell>
          <cell r="F33">
            <v>10600000</v>
          </cell>
        </row>
        <row r="34">
          <cell r="B34" t="str">
            <v>A Type 계약11</v>
          </cell>
          <cell r="C34">
            <v>7083.333333333333</v>
          </cell>
          <cell r="D34">
            <v>7083333.333333333</v>
          </cell>
          <cell r="E34">
            <v>1.7</v>
          </cell>
          <cell r="F34">
            <v>12000000</v>
          </cell>
        </row>
        <row r="35">
          <cell r="B35" t="str">
            <v>A Type 계약12</v>
          </cell>
          <cell r="C35">
            <v>7916.666666666667</v>
          </cell>
          <cell r="D35">
            <v>7916666.666666667</v>
          </cell>
          <cell r="E35">
            <v>1.7</v>
          </cell>
          <cell r="F35">
            <v>13500000</v>
          </cell>
        </row>
        <row r="36">
          <cell r="B36" t="str">
            <v>A Type 계약13</v>
          </cell>
          <cell r="C36">
            <v>8333.3333333333339</v>
          </cell>
          <cell r="D36">
            <v>8333333.333333334</v>
          </cell>
          <cell r="E36">
            <v>1.7</v>
          </cell>
          <cell r="F36">
            <v>14200000</v>
          </cell>
        </row>
        <row r="37">
          <cell r="B37" t="str">
            <v>B Type 계약01</v>
          </cell>
          <cell r="C37">
            <v>1250</v>
          </cell>
          <cell r="D37">
            <v>1250000</v>
          </cell>
          <cell r="E37">
            <v>1.2</v>
          </cell>
          <cell r="F37">
            <v>1500000</v>
          </cell>
        </row>
        <row r="38">
          <cell r="B38" t="str">
            <v>B Type 계약02</v>
          </cell>
          <cell r="C38">
            <v>1458.3333333333333</v>
          </cell>
          <cell r="D38">
            <v>1458333.3333333333</v>
          </cell>
          <cell r="E38">
            <v>1.2</v>
          </cell>
          <cell r="F38">
            <v>1800000</v>
          </cell>
        </row>
        <row r="39">
          <cell r="B39" t="str">
            <v>B Type 계약03</v>
          </cell>
          <cell r="C39">
            <v>1875</v>
          </cell>
          <cell r="D39">
            <v>1875000</v>
          </cell>
          <cell r="E39">
            <v>1.2</v>
          </cell>
          <cell r="F39">
            <v>2300000</v>
          </cell>
        </row>
        <row r="40">
          <cell r="B40" t="str">
            <v>B Type 계약04</v>
          </cell>
          <cell r="C40">
            <v>2291.6666666666665</v>
          </cell>
          <cell r="D40">
            <v>2291666.6666666665</v>
          </cell>
          <cell r="E40">
            <v>1.2</v>
          </cell>
          <cell r="F40">
            <v>2800000</v>
          </cell>
        </row>
        <row r="41">
          <cell r="B41" t="str">
            <v>B Type 계약05</v>
          </cell>
          <cell r="C41">
            <v>2708.3333333333335</v>
          </cell>
          <cell r="D41">
            <v>2708333.3333333335</v>
          </cell>
          <cell r="E41">
            <v>1.2</v>
          </cell>
          <cell r="F41">
            <v>3300000</v>
          </cell>
        </row>
        <row r="42">
          <cell r="B42" t="str">
            <v>B Type 계약06</v>
          </cell>
          <cell r="C42">
            <v>3125</v>
          </cell>
          <cell r="D42">
            <v>3125000</v>
          </cell>
          <cell r="E42">
            <v>1.2</v>
          </cell>
          <cell r="F42">
            <v>3800000</v>
          </cell>
        </row>
        <row r="43">
          <cell r="B43" t="str">
            <v>B Type 계약07</v>
          </cell>
          <cell r="C43">
            <v>3750</v>
          </cell>
          <cell r="D43">
            <v>3750000</v>
          </cell>
          <cell r="E43">
            <v>1.2</v>
          </cell>
          <cell r="F43">
            <v>4500000</v>
          </cell>
        </row>
        <row r="44">
          <cell r="B44" t="str">
            <v>B Type 계약08</v>
          </cell>
          <cell r="C44">
            <v>4583.333333333333</v>
          </cell>
          <cell r="D44">
            <v>4583333.333333333</v>
          </cell>
          <cell r="E44">
            <v>1.2</v>
          </cell>
          <cell r="F44">
            <v>5500000</v>
          </cell>
        </row>
        <row r="45">
          <cell r="B45" t="str">
            <v>B Type 계약09</v>
          </cell>
          <cell r="C45">
            <v>5416.666666666667</v>
          </cell>
          <cell r="D45">
            <v>5416666.666666667</v>
          </cell>
          <cell r="E45">
            <v>1.2</v>
          </cell>
          <cell r="F45">
            <v>6500000</v>
          </cell>
        </row>
        <row r="46">
          <cell r="B46" t="str">
            <v>B Type 계약10</v>
          </cell>
          <cell r="C46">
            <v>6250</v>
          </cell>
          <cell r="D46">
            <v>6250000</v>
          </cell>
          <cell r="E46">
            <v>1.2</v>
          </cell>
          <cell r="F46">
            <v>7500000</v>
          </cell>
        </row>
        <row r="47">
          <cell r="B47" t="str">
            <v>B Type 계약11</v>
          </cell>
          <cell r="C47">
            <v>7083.333333333333</v>
          </cell>
          <cell r="D47">
            <v>7083333.333333333</v>
          </cell>
          <cell r="E47">
            <v>1.2</v>
          </cell>
          <cell r="F47">
            <v>8500000</v>
          </cell>
        </row>
        <row r="48">
          <cell r="B48" t="str">
            <v>B Type 계약12</v>
          </cell>
          <cell r="C48">
            <v>7916.666666666667</v>
          </cell>
          <cell r="D48">
            <v>7916666.666666667</v>
          </cell>
          <cell r="E48">
            <v>1.2</v>
          </cell>
          <cell r="F48">
            <v>9500000</v>
          </cell>
        </row>
        <row r="49">
          <cell r="B49" t="str">
            <v>B Type 계약13</v>
          </cell>
          <cell r="C49">
            <v>8333.3333333333339</v>
          </cell>
          <cell r="D49">
            <v>8333333.333333334</v>
          </cell>
          <cell r="E49">
            <v>1.2</v>
          </cell>
          <cell r="F49">
            <v>10000000</v>
          </cell>
        </row>
        <row r="50">
          <cell r="B50" t="str">
            <v>C Type 계약01</v>
          </cell>
          <cell r="C50">
            <v>1250</v>
          </cell>
          <cell r="D50">
            <v>1250000</v>
          </cell>
          <cell r="E50">
            <v>1.1000000000000001</v>
          </cell>
          <cell r="F50">
            <v>1400000</v>
          </cell>
        </row>
        <row r="51">
          <cell r="B51" t="str">
            <v>C Type 계약02</v>
          </cell>
          <cell r="C51">
            <v>1458.3333333333333</v>
          </cell>
          <cell r="D51">
            <v>1458333.3333333333</v>
          </cell>
          <cell r="E51">
            <v>1.1000000000000001</v>
          </cell>
          <cell r="F51">
            <v>1600000</v>
          </cell>
        </row>
        <row r="52">
          <cell r="B52" t="str">
            <v>C Type 계약03</v>
          </cell>
          <cell r="C52">
            <v>1875</v>
          </cell>
          <cell r="D52">
            <v>1875000</v>
          </cell>
          <cell r="E52">
            <v>1.1000000000000001</v>
          </cell>
          <cell r="F52">
            <v>2100000</v>
          </cell>
        </row>
        <row r="53">
          <cell r="B53" t="str">
            <v>C Type 계약04</v>
          </cell>
          <cell r="C53">
            <v>2291.6666666666665</v>
          </cell>
          <cell r="D53">
            <v>2291666.6666666665</v>
          </cell>
          <cell r="E53">
            <v>1.1000000000000001</v>
          </cell>
          <cell r="F53">
            <v>2500000</v>
          </cell>
        </row>
        <row r="54">
          <cell r="B54" t="str">
            <v>C Type 계약05</v>
          </cell>
          <cell r="C54">
            <v>2708.3333333333335</v>
          </cell>
          <cell r="D54">
            <v>2708333.3333333335</v>
          </cell>
          <cell r="E54">
            <v>1.1000000000000001</v>
          </cell>
          <cell r="F54">
            <v>3000000</v>
          </cell>
        </row>
        <row r="55">
          <cell r="B55" t="str">
            <v>C Type 계약06</v>
          </cell>
          <cell r="C55">
            <v>3125</v>
          </cell>
          <cell r="D55">
            <v>3125000</v>
          </cell>
          <cell r="E55">
            <v>1.1000000000000001</v>
          </cell>
          <cell r="F55">
            <v>3400000</v>
          </cell>
        </row>
        <row r="56">
          <cell r="B56" t="str">
            <v>C Type 계약07</v>
          </cell>
          <cell r="C56">
            <v>3750</v>
          </cell>
          <cell r="D56">
            <v>3750000</v>
          </cell>
          <cell r="E56">
            <v>1.1000000000000001</v>
          </cell>
          <cell r="F56">
            <v>4100000</v>
          </cell>
        </row>
        <row r="57">
          <cell r="B57" t="str">
            <v>C Type 계약08</v>
          </cell>
          <cell r="C57">
            <v>4583.333333333333</v>
          </cell>
          <cell r="D57">
            <v>4583333.333333333</v>
          </cell>
          <cell r="E57">
            <v>1.1000000000000001</v>
          </cell>
          <cell r="F57">
            <v>5000000</v>
          </cell>
        </row>
        <row r="58">
          <cell r="B58" t="str">
            <v>C Type 계약09</v>
          </cell>
          <cell r="C58">
            <v>5416.666666666667</v>
          </cell>
          <cell r="D58">
            <v>5416666.666666667</v>
          </cell>
          <cell r="E58">
            <v>1.1000000000000001</v>
          </cell>
          <cell r="F58">
            <v>6000000</v>
          </cell>
        </row>
        <row r="59">
          <cell r="B59" t="str">
            <v>C Type 계약10</v>
          </cell>
          <cell r="C59">
            <v>6250</v>
          </cell>
          <cell r="D59">
            <v>6250000</v>
          </cell>
          <cell r="E59">
            <v>1.1000000000000001</v>
          </cell>
          <cell r="F59">
            <v>6900000</v>
          </cell>
        </row>
        <row r="60">
          <cell r="B60" t="str">
            <v>C Type 계약11</v>
          </cell>
          <cell r="C60">
            <v>7083.333333333333</v>
          </cell>
          <cell r="D60">
            <v>7083333.333333333</v>
          </cell>
          <cell r="E60">
            <v>1.1000000000000001</v>
          </cell>
          <cell r="F60">
            <v>7800000</v>
          </cell>
        </row>
        <row r="61">
          <cell r="B61" t="str">
            <v>C Type 계약12</v>
          </cell>
          <cell r="C61">
            <v>7916.666666666667</v>
          </cell>
          <cell r="D61">
            <v>7916666.666666667</v>
          </cell>
          <cell r="E61">
            <v>1.1000000000000001</v>
          </cell>
          <cell r="F61">
            <v>8700000</v>
          </cell>
        </row>
        <row r="62">
          <cell r="B62" t="str">
            <v>C Type 계약13</v>
          </cell>
          <cell r="C62">
            <v>8333.3333333333339</v>
          </cell>
          <cell r="D62">
            <v>8333333.333333334</v>
          </cell>
          <cell r="E62">
            <v>1.1000000000000001</v>
          </cell>
          <cell r="F62">
            <v>9200000</v>
          </cell>
        </row>
      </sheetData>
      <sheetData sheetId="1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</sheetNames>
    <sheetDataSet>
      <sheetData sheetId="0">
        <row r="7">
          <cell r="T7">
            <v>254897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금융사업팀"/>
      <sheetName val="Sheet1"/>
      <sheetName val="피벗"/>
      <sheetName val="경영기획팀  전송"/>
      <sheetName val="건재순"/>
      <sheetName val="표준인건비"/>
      <sheetName val="Sheet3"/>
    </sheetNames>
    <sheetDataSet>
      <sheetData sheetId="0">
        <row r="1">
          <cell r="D1" t="str">
            <v>사번</v>
          </cell>
        </row>
      </sheetData>
      <sheetData sheetId="1"/>
      <sheetData sheetId="2"/>
      <sheetData sheetId="3"/>
      <sheetData sheetId="4"/>
      <sheetData sheetId="5"/>
      <sheetData sheetId="6">
        <row r="30">
          <cell r="Q30">
            <v>206119698.77536812</v>
          </cell>
        </row>
      </sheetData>
      <sheetData sheetId="7"/>
      <sheetData sheetId="8"/>
      <sheetData sheetId="9"/>
      <sheetData sheetId="10"/>
      <sheetData sheetId="11">
        <row r="1">
          <cell r="B1" t="str">
            <v>구분</v>
          </cell>
        </row>
      </sheetData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rayConstants"/>
      <sheetName val="ValueInList"/>
      <sheetName val="CountLetters"/>
      <sheetName val="MaxMin_Change"/>
      <sheetName val="Sum of Digits"/>
      <sheetName val="Sum Every Nth"/>
      <sheetName val="Ranking"/>
      <sheetName val="Discrete_Distribution"/>
      <sheetName val="Nondiscrete_Distribution"/>
      <sheetName val="Crosstab"/>
      <sheetName val="Calend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재기준"/>
      <sheetName val="전주기준"/>
      <sheetName val="공공사업1팀"/>
      <sheetName val="공공사업2팀"/>
      <sheetName val="공공사업3팀"/>
      <sheetName val="SAP MOP팀"/>
      <sheetName val="금융사업팀"/>
      <sheetName val="피벗"/>
      <sheetName val="경영기획팀  전송"/>
      <sheetName val="건재순"/>
      <sheetName val="표준인건비"/>
      <sheetName val="Sheet3"/>
    </sheetNames>
    <sheetDataSet>
      <sheetData sheetId="0">
        <row r="1">
          <cell r="D1" t="str">
            <v>사번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>
        <row r="30">
          <cell r="Q30">
            <v>206119698.77536812</v>
          </cell>
        </row>
      </sheetData>
      <sheetData sheetId="7" refreshError="1"/>
      <sheetData sheetId="8" refreshError="1"/>
      <sheetData sheetId="9" refreshError="1"/>
      <sheetData sheetId="10">
        <row r="1">
          <cell r="B1" t="str">
            <v>구분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9D62-C4E2-4866-A646-2A75E0CAEAC9}">
  <dimension ref="A1:N64"/>
  <sheetViews>
    <sheetView tabSelected="1" zoomScale="85" zoomScaleNormal="85" workbookViewId="0">
      <selection activeCell="D17" sqref="D17"/>
    </sheetView>
  </sheetViews>
  <sheetFormatPr defaultRowHeight="17.399999999999999" x14ac:dyDescent="0.4"/>
  <cols>
    <col min="1" max="1" width="23.59765625" style="68" bestFit="1" customWidth="1"/>
    <col min="2" max="2" width="12.19921875" style="68" bestFit="1" customWidth="1"/>
    <col min="3" max="3" width="8.796875" style="68"/>
    <col min="4" max="4" width="21.69921875" style="68" bestFit="1" customWidth="1"/>
    <col min="5" max="5" width="12.3984375" style="68" bestFit="1" customWidth="1"/>
    <col min="6" max="6" width="10.19921875" style="68" bestFit="1" customWidth="1"/>
    <col min="7" max="7" width="9" style="68" bestFit="1" customWidth="1"/>
    <col min="8" max="8" width="15.3984375" style="68" bestFit="1" customWidth="1"/>
    <col min="9" max="9" width="13.8984375" style="68" bestFit="1" customWidth="1"/>
    <col min="10" max="10" width="11.09765625" style="68" bestFit="1" customWidth="1"/>
    <col min="11" max="11" width="10.8984375" style="68" bestFit="1" customWidth="1"/>
    <col min="12" max="13" width="10.09765625" style="68" bestFit="1" customWidth="1"/>
    <col min="14" max="14" width="11.8984375" style="68" bestFit="1" customWidth="1"/>
    <col min="15" max="16384" width="8.796875" style="68"/>
  </cols>
  <sheetData>
    <row r="1" spans="1:14" x14ac:dyDescent="0.4">
      <c r="A1" s="71" t="s">
        <v>85</v>
      </c>
      <c r="B1" s="71" t="s">
        <v>86</v>
      </c>
      <c r="C1" s="71" t="s">
        <v>87</v>
      </c>
      <c r="D1" s="71" t="s">
        <v>88</v>
      </c>
      <c r="E1" s="71" t="s">
        <v>89</v>
      </c>
      <c r="F1" s="71" t="s">
        <v>90</v>
      </c>
      <c r="G1" s="71" t="s">
        <v>91</v>
      </c>
      <c r="H1" s="71" t="s">
        <v>92</v>
      </c>
      <c r="I1" s="71" t="s">
        <v>93</v>
      </c>
      <c r="J1" s="71" t="s">
        <v>94</v>
      </c>
      <c r="K1" s="71" t="s">
        <v>95</v>
      </c>
      <c r="L1" s="71" t="s">
        <v>96</v>
      </c>
      <c r="M1" s="71" t="s">
        <v>97</v>
      </c>
      <c r="N1" s="72" t="s">
        <v>183</v>
      </c>
    </row>
    <row r="2" spans="1:14" x14ac:dyDescent="0.4">
      <c r="A2" s="68" t="s">
        <v>98</v>
      </c>
      <c r="B2" s="68" t="s">
        <v>99</v>
      </c>
      <c r="C2" s="68" t="s">
        <v>100</v>
      </c>
      <c r="D2" s="68" t="s">
        <v>101</v>
      </c>
      <c r="E2" s="68" t="s">
        <v>21</v>
      </c>
      <c r="G2" s="68" t="s">
        <v>102</v>
      </c>
      <c r="H2" s="68" t="s">
        <v>103</v>
      </c>
      <c r="I2" s="69">
        <v>46327.000601851854</v>
      </c>
      <c r="N2" s="70">
        <v>10600000</v>
      </c>
    </row>
    <row r="3" spans="1:14" x14ac:dyDescent="0.4">
      <c r="A3" s="68" t="s">
        <v>98</v>
      </c>
      <c r="B3" s="68" t="s">
        <v>104</v>
      </c>
      <c r="C3" s="68" t="s">
        <v>100</v>
      </c>
      <c r="D3" s="68" t="s">
        <v>105</v>
      </c>
      <c r="E3" s="68" t="s">
        <v>19</v>
      </c>
      <c r="G3" s="68" t="s">
        <v>102</v>
      </c>
      <c r="H3" s="68" t="s">
        <v>103</v>
      </c>
      <c r="I3" s="69">
        <v>46327.000601851854</v>
      </c>
      <c r="N3" s="70">
        <v>7600000</v>
      </c>
    </row>
    <row r="4" spans="1:14" x14ac:dyDescent="0.4">
      <c r="A4" s="68" t="s">
        <v>98</v>
      </c>
      <c r="B4" s="68" t="s">
        <v>106</v>
      </c>
      <c r="C4" s="68" t="s">
        <v>100</v>
      </c>
      <c r="D4" s="68" t="s">
        <v>107</v>
      </c>
      <c r="E4" s="68" t="s">
        <v>24</v>
      </c>
      <c r="G4" s="68" t="s">
        <v>102</v>
      </c>
      <c r="H4" s="68" t="s">
        <v>103</v>
      </c>
      <c r="I4" s="69">
        <v>46266.000601851854</v>
      </c>
      <c r="N4" s="70">
        <v>15000000</v>
      </c>
    </row>
    <row r="5" spans="1:14" x14ac:dyDescent="0.4">
      <c r="A5" s="68" t="s">
        <v>98</v>
      </c>
      <c r="B5" s="68" t="s">
        <v>108</v>
      </c>
      <c r="C5" s="68" t="s">
        <v>100</v>
      </c>
      <c r="D5" s="68" t="s">
        <v>109</v>
      </c>
      <c r="E5" s="68" t="s">
        <v>23</v>
      </c>
      <c r="G5" s="68" t="s">
        <v>102</v>
      </c>
      <c r="H5" s="68" t="s">
        <v>103</v>
      </c>
      <c r="I5" s="69">
        <v>46266.000601851854</v>
      </c>
      <c r="N5" s="70">
        <v>13400000</v>
      </c>
    </row>
    <row r="6" spans="1:14" x14ac:dyDescent="0.4">
      <c r="A6" s="68" t="s">
        <v>98</v>
      </c>
      <c r="B6" s="68" t="s">
        <v>110</v>
      </c>
      <c r="C6" s="68" t="s">
        <v>100</v>
      </c>
      <c r="D6" s="68" t="s">
        <v>111</v>
      </c>
      <c r="E6" s="68" t="s">
        <v>112</v>
      </c>
      <c r="G6" s="68" t="s">
        <v>102</v>
      </c>
      <c r="H6" s="68" t="s">
        <v>103</v>
      </c>
      <c r="I6" s="69">
        <v>46296.000601851854</v>
      </c>
      <c r="N6" s="70">
        <v>12100000</v>
      </c>
    </row>
    <row r="7" spans="1:14" x14ac:dyDescent="0.4">
      <c r="A7" s="68" t="s">
        <v>98</v>
      </c>
      <c r="B7" s="73" t="s">
        <v>184</v>
      </c>
      <c r="C7" s="68" t="s">
        <v>100</v>
      </c>
      <c r="D7" s="68" t="s">
        <v>113</v>
      </c>
      <c r="E7" s="68" t="s">
        <v>24</v>
      </c>
      <c r="G7" s="68" t="s">
        <v>114</v>
      </c>
      <c r="H7" s="68" t="s">
        <v>103</v>
      </c>
      <c r="I7" s="69">
        <v>45017.000601851854</v>
      </c>
      <c r="M7" s="68" t="s">
        <v>115</v>
      </c>
      <c r="N7" s="70">
        <v>15000000</v>
      </c>
    </row>
    <row r="8" spans="1:14" x14ac:dyDescent="0.4">
      <c r="A8" s="68" t="s">
        <v>116</v>
      </c>
      <c r="B8" s="68" t="s">
        <v>117</v>
      </c>
      <c r="C8" s="68" t="s">
        <v>100</v>
      </c>
      <c r="D8" s="68" t="s">
        <v>118</v>
      </c>
      <c r="E8" s="68" t="s">
        <v>24</v>
      </c>
      <c r="G8" s="68" t="s">
        <v>102</v>
      </c>
      <c r="H8" s="68" t="s">
        <v>103</v>
      </c>
      <c r="I8" s="69">
        <v>46143.000601851854</v>
      </c>
      <c r="N8" s="70">
        <v>15000000</v>
      </c>
    </row>
    <row r="9" spans="1:14" x14ac:dyDescent="0.4">
      <c r="A9" s="68" t="s">
        <v>116</v>
      </c>
      <c r="B9" s="68" t="s">
        <v>119</v>
      </c>
      <c r="C9" s="68" t="s">
        <v>100</v>
      </c>
      <c r="D9" s="68" t="s">
        <v>120</v>
      </c>
      <c r="E9" s="68" t="s">
        <v>25</v>
      </c>
      <c r="G9" s="68" t="s">
        <v>102</v>
      </c>
      <c r="H9" s="68" t="s">
        <v>103</v>
      </c>
      <c r="I9" s="69">
        <v>46082.000601851854</v>
      </c>
      <c r="N9" s="70">
        <v>17000000</v>
      </c>
    </row>
    <row r="10" spans="1:14" x14ac:dyDescent="0.4">
      <c r="A10" s="68" t="s">
        <v>116</v>
      </c>
      <c r="B10" s="68" t="s">
        <v>121</v>
      </c>
      <c r="C10" s="68" t="s">
        <v>100</v>
      </c>
      <c r="D10" s="68" t="s">
        <v>122</v>
      </c>
      <c r="E10" s="68" t="s">
        <v>26</v>
      </c>
      <c r="G10" s="68" t="s">
        <v>102</v>
      </c>
      <c r="H10" s="68" t="s">
        <v>103</v>
      </c>
      <c r="I10" s="69">
        <v>46113.000601851854</v>
      </c>
      <c r="N10" s="70">
        <v>18200000</v>
      </c>
    </row>
    <row r="11" spans="1:14" x14ac:dyDescent="0.4">
      <c r="A11" s="68" t="s">
        <v>123</v>
      </c>
      <c r="B11" s="73">
        <v>2205005</v>
      </c>
      <c r="C11" s="68" t="s">
        <v>100</v>
      </c>
      <c r="D11" s="68" t="s">
        <v>124</v>
      </c>
      <c r="E11" s="68" t="s">
        <v>18</v>
      </c>
      <c r="G11" s="68" t="s">
        <v>114</v>
      </c>
      <c r="H11" s="68" t="s">
        <v>103</v>
      </c>
      <c r="I11" s="69">
        <v>44805.000601851854</v>
      </c>
      <c r="M11" s="68" t="s">
        <v>115</v>
      </c>
      <c r="N11" s="70">
        <v>6200000</v>
      </c>
    </row>
    <row r="12" spans="1:14" x14ac:dyDescent="0.4">
      <c r="A12" s="68" t="s">
        <v>116</v>
      </c>
      <c r="B12" s="73">
        <v>2390401</v>
      </c>
      <c r="C12" s="68" t="s">
        <v>100</v>
      </c>
      <c r="D12" s="68" t="s">
        <v>125</v>
      </c>
      <c r="E12" s="68" t="s">
        <v>19</v>
      </c>
      <c r="G12" s="68" t="s">
        <v>114</v>
      </c>
      <c r="H12" s="68" t="s">
        <v>103</v>
      </c>
      <c r="I12" s="69">
        <v>45020.000601851854</v>
      </c>
      <c r="M12" s="68" t="s">
        <v>115</v>
      </c>
      <c r="N12" s="70">
        <v>7600000</v>
      </c>
    </row>
    <row r="13" spans="1:14" x14ac:dyDescent="0.4">
      <c r="A13" s="68" t="s">
        <v>116</v>
      </c>
      <c r="B13" s="73">
        <v>1990311</v>
      </c>
      <c r="C13" s="68" t="s">
        <v>100</v>
      </c>
      <c r="D13" s="68" t="s">
        <v>126</v>
      </c>
      <c r="E13" s="68" t="s">
        <v>20</v>
      </c>
      <c r="G13" s="68" t="s">
        <v>114</v>
      </c>
      <c r="H13" s="68" t="s">
        <v>103</v>
      </c>
      <c r="I13" s="69">
        <v>45017.000601851854</v>
      </c>
      <c r="M13" s="68" t="s">
        <v>115</v>
      </c>
      <c r="N13" s="70">
        <v>9000000</v>
      </c>
    </row>
    <row r="14" spans="1:14" x14ac:dyDescent="0.4">
      <c r="A14" s="68" t="s">
        <v>123</v>
      </c>
      <c r="B14" s="73">
        <v>2405003</v>
      </c>
      <c r="C14" s="68" t="s">
        <v>100</v>
      </c>
      <c r="D14" s="68" t="s">
        <v>127</v>
      </c>
      <c r="E14" s="68" t="s">
        <v>23</v>
      </c>
      <c r="G14" s="68" t="s">
        <v>114</v>
      </c>
      <c r="H14" s="68" t="s">
        <v>103</v>
      </c>
      <c r="I14" s="69">
        <v>45656.000601851854</v>
      </c>
      <c r="M14" s="68" t="s">
        <v>115</v>
      </c>
      <c r="N14" s="70">
        <v>13400000</v>
      </c>
    </row>
    <row r="15" spans="1:14" x14ac:dyDescent="0.4">
      <c r="A15" s="68" t="s">
        <v>123</v>
      </c>
      <c r="B15" s="73">
        <v>1605038</v>
      </c>
      <c r="C15" s="68" t="s">
        <v>100</v>
      </c>
      <c r="D15" s="68" t="s">
        <v>128</v>
      </c>
      <c r="E15" s="68" t="s">
        <v>20</v>
      </c>
      <c r="G15" s="68" t="s">
        <v>114</v>
      </c>
      <c r="H15" s="68" t="s">
        <v>103</v>
      </c>
      <c r="I15" s="69">
        <v>41624.000601851854</v>
      </c>
      <c r="M15" s="68" t="s">
        <v>115</v>
      </c>
      <c r="N15" s="70">
        <v>9000000</v>
      </c>
    </row>
    <row r="16" spans="1:14" x14ac:dyDescent="0.4">
      <c r="A16" s="68" t="s">
        <v>98</v>
      </c>
      <c r="B16" s="73">
        <v>2290704</v>
      </c>
      <c r="C16" s="68" t="s">
        <v>100</v>
      </c>
      <c r="D16" s="68" t="s">
        <v>191</v>
      </c>
      <c r="E16" s="68" t="s">
        <v>112</v>
      </c>
      <c r="G16" s="68" t="s">
        <v>114</v>
      </c>
      <c r="H16" s="68" t="s">
        <v>103</v>
      </c>
      <c r="I16" s="69">
        <v>45017.000601851854</v>
      </c>
      <c r="M16" s="68" t="s">
        <v>115</v>
      </c>
      <c r="N16" s="70">
        <v>12100000</v>
      </c>
    </row>
    <row r="17" spans="1:14" x14ac:dyDescent="0.4">
      <c r="A17" s="68" t="s">
        <v>98</v>
      </c>
      <c r="B17" s="73">
        <v>2291105</v>
      </c>
      <c r="C17" s="68" t="s">
        <v>100</v>
      </c>
      <c r="D17" s="68" t="s">
        <v>130</v>
      </c>
      <c r="E17" s="68" t="s">
        <v>20</v>
      </c>
      <c r="G17" s="68" t="s">
        <v>114</v>
      </c>
      <c r="H17" s="68" t="s">
        <v>103</v>
      </c>
      <c r="I17" s="69">
        <v>45017.000601851854</v>
      </c>
      <c r="M17" s="68" t="s">
        <v>115</v>
      </c>
      <c r="N17" s="70">
        <v>9000000</v>
      </c>
    </row>
    <row r="18" spans="1:14" x14ac:dyDescent="0.4">
      <c r="A18" s="68" t="s">
        <v>116</v>
      </c>
      <c r="B18" s="73">
        <v>2505001</v>
      </c>
      <c r="C18" s="68" t="s">
        <v>100</v>
      </c>
      <c r="D18" s="68" t="s">
        <v>131</v>
      </c>
      <c r="E18" s="68" t="s">
        <v>63</v>
      </c>
      <c r="G18" s="68" t="s">
        <v>114</v>
      </c>
      <c r="H18" s="68" t="s">
        <v>103</v>
      </c>
      <c r="I18" s="69">
        <v>45658.000601851854</v>
      </c>
      <c r="J18" s="69">
        <v>1027397.0006018518</v>
      </c>
      <c r="M18" s="68" t="s">
        <v>132</v>
      </c>
      <c r="N18" s="70">
        <v>11100000</v>
      </c>
    </row>
    <row r="19" spans="1:14" x14ac:dyDescent="0.4">
      <c r="A19" s="68" t="s">
        <v>133</v>
      </c>
      <c r="B19" s="73">
        <v>2405001</v>
      </c>
      <c r="C19" s="68" t="s">
        <v>100</v>
      </c>
      <c r="D19" s="68" t="s">
        <v>134</v>
      </c>
      <c r="E19" s="68" t="s">
        <v>112</v>
      </c>
      <c r="G19" s="68" t="s">
        <v>114</v>
      </c>
      <c r="H19" s="68" t="s">
        <v>103</v>
      </c>
      <c r="I19" s="69">
        <v>45460.000601851854</v>
      </c>
      <c r="M19" s="68" t="s">
        <v>115</v>
      </c>
      <c r="N19" s="70">
        <v>12100000</v>
      </c>
    </row>
    <row r="20" spans="1:14" x14ac:dyDescent="0.4">
      <c r="A20" s="68" t="s">
        <v>116</v>
      </c>
      <c r="B20" s="73" t="s">
        <v>185</v>
      </c>
      <c r="C20" s="68" t="s">
        <v>100</v>
      </c>
      <c r="D20" s="68" t="s">
        <v>135</v>
      </c>
      <c r="E20" s="68" t="s">
        <v>24</v>
      </c>
      <c r="G20" s="68" t="s">
        <v>114</v>
      </c>
      <c r="H20" s="68" t="s">
        <v>103</v>
      </c>
      <c r="I20" s="69">
        <v>45017.000601851854</v>
      </c>
      <c r="M20" s="68" t="s">
        <v>115</v>
      </c>
      <c r="N20" s="70">
        <v>15000000</v>
      </c>
    </row>
    <row r="21" spans="1:14" x14ac:dyDescent="0.4">
      <c r="A21" s="68" t="s">
        <v>116</v>
      </c>
      <c r="B21" s="73">
        <v>1990801</v>
      </c>
      <c r="C21" s="68" t="s">
        <v>100</v>
      </c>
      <c r="D21" s="68" t="s">
        <v>136</v>
      </c>
      <c r="E21" s="68" t="s">
        <v>19</v>
      </c>
      <c r="G21" s="68" t="s">
        <v>114</v>
      </c>
      <c r="H21" s="68" t="s">
        <v>103</v>
      </c>
      <c r="I21" s="69">
        <v>45017.000601851854</v>
      </c>
      <c r="M21" s="68" t="s">
        <v>115</v>
      </c>
      <c r="N21" s="70">
        <v>7600000</v>
      </c>
    </row>
    <row r="22" spans="1:14" x14ac:dyDescent="0.4">
      <c r="A22" s="68" t="s">
        <v>98</v>
      </c>
      <c r="B22" s="73" t="s">
        <v>186</v>
      </c>
      <c r="C22" s="68" t="s">
        <v>100</v>
      </c>
      <c r="D22" s="68" t="s">
        <v>137</v>
      </c>
      <c r="E22" s="68" t="s">
        <v>23</v>
      </c>
      <c r="G22" s="68" t="s">
        <v>114</v>
      </c>
      <c r="H22" s="68" t="s">
        <v>103</v>
      </c>
      <c r="I22" s="69">
        <v>45017.000601851854</v>
      </c>
      <c r="M22" s="68" t="s">
        <v>115</v>
      </c>
      <c r="N22" s="70">
        <v>13400000</v>
      </c>
    </row>
    <row r="23" spans="1:14" x14ac:dyDescent="0.4">
      <c r="A23" s="68" t="s">
        <v>123</v>
      </c>
      <c r="B23" s="73">
        <v>1605037</v>
      </c>
      <c r="C23" s="68" t="s">
        <v>100</v>
      </c>
      <c r="D23" s="68" t="s">
        <v>138</v>
      </c>
      <c r="E23" s="68" t="s">
        <v>21</v>
      </c>
      <c r="G23" s="68" t="s">
        <v>114</v>
      </c>
      <c r="H23" s="68" t="s">
        <v>103</v>
      </c>
      <c r="I23" s="69">
        <v>40941.000601851854</v>
      </c>
      <c r="M23" s="68" t="s">
        <v>115</v>
      </c>
      <c r="N23" s="70">
        <v>10600000</v>
      </c>
    </row>
    <row r="24" spans="1:14" x14ac:dyDescent="0.4">
      <c r="A24" s="68" t="s">
        <v>98</v>
      </c>
      <c r="B24" s="73">
        <v>2505005</v>
      </c>
      <c r="C24" s="68" t="s">
        <v>100</v>
      </c>
      <c r="D24" s="68" t="s">
        <v>139</v>
      </c>
      <c r="E24" s="68" t="s">
        <v>63</v>
      </c>
      <c r="G24" s="68" t="s">
        <v>114</v>
      </c>
      <c r="H24" s="68" t="s">
        <v>103</v>
      </c>
      <c r="I24" s="69">
        <v>45962.000601851854</v>
      </c>
      <c r="M24" s="68" t="s">
        <v>132</v>
      </c>
      <c r="N24" s="70">
        <v>11100000</v>
      </c>
    </row>
    <row r="25" spans="1:14" x14ac:dyDescent="0.4">
      <c r="A25" s="68" t="s">
        <v>98</v>
      </c>
      <c r="B25" s="73">
        <v>2291103</v>
      </c>
      <c r="C25" s="68" t="s">
        <v>100</v>
      </c>
      <c r="D25" s="68" t="s">
        <v>140</v>
      </c>
      <c r="E25" s="68" t="s">
        <v>19</v>
      </c>
      <c r="G25" s="68" t="s">
        <v>114</v>
      </c>
      <c r="H25" s="68" t="s">
        <v>103</v>
      </c>
      <c r="I25" s="69">
        <v>45017.000601851854</v>
      </c>
      <c r="M25" s="68" t="s">
        <v>115</v>
      </c>
      <c r="N25" s="70">
        <v>7600000</v>
      </c>
    </row>
    <row r="26" spans="1:14" x14ac:dyDescent="0.4">
      <c r="A26" s="68" t="s">
        <v>123</v>
      </c>
      <c r="B26" s="73">
        <v>1605053</v>
      </c>
      <c r="C26" s="68" t="s">
        <v>100</v>
      </c>
      <c r="D26" s="68" t="s">
        <v>141</v>
      </c>
      <c r="E26" s="68" t="s">
        <v>112</v>
      </c>
      <c r="G26" s="68" t="s">
        <v>114</v>
      </c>
      <c r="H26" s="68" t="s">
        <v>103</v>
      </c>
      <c r="I26" s="69">
        <v>41743.000601851854</v>
      </c>
      <c r="M26" s="68" t="s">
        <v>115</v>
      </c>
      <c r="N26" s="70">
        <v>12100000</v>
      </c>
    </row>
    <row r="27" spans="1:14" x14ac:dyDescent="0.4">
      <c r="A27" s="68" t="s">
        <v>98</v>
      </c>
      <c r="B27" s="73">
        <v>2291202</v>
      </c>
      <c r="C27" s="68" t="s">
        <v>100</v>
      </c>
      <c r="D27" s="68" t="s">
        <v>142</v>
      </c>
      <c r="E27" s="68" t="s">
        <v>19</v>
      </c>
      <c r="G27" s="68" t="s">
        <v>114</v>
      </c>
      <c r="H27" s="68" t="s">
        <v>103</v>
      </c>
      <c r="I27" s="69">
        <v>45029.000601851854</v>
      </c>
      <c r="M27" s="68" t="s">
        <v>115</v>
      </c>
      <c r="N27" s="70">
        <v>7600000</v>
      </c>
    </row>
    <row r="28" spans="1:14" x14ac:dyDescent="0.4">
      <c r="A28" s="68" t="s">
        <v>116</v>
      </c>
      <c r="B28" s="73">
        <v>2305008</v>
      </c>
      <c r="C28" s="68" t="s">
        <v>100</v>
      </c>
      <c r="D28" s="68" t="s">
        <v>143</v>
      </c>
      <c r="E28" s="68" t="s">
        <v>18</v>
      </c>
      <c r="G28" s="68" t="s">
        <v>114</v>
      </c>
      <c r="H28" s="68" t="s">
        <v>103</v>
      </c>
      <c r="I28" s="69">
        <v>45048.000601851854</v>
      </c>
      <c r="M28" s="68" t="s">
        <v>115</v>
      </c>
      <c r="N28" s="70">
        <v>6200000</v>
      </c>
    </row>
    <row r="29" spans="1:14" x14ac:dyDescent="0.4">
      <c r="A29" s="68" t="s">
        <v>116</v>
      </c>
      <c r="B29" s="73">
        <v>2290115</v>
      </c>
      <c r="C29" s="68" t="s">
        <v>100</v>
      </c>
      <c r="D29" s="68" t="s">
        <v>144</v>
      </c>
      <c r="E29" s="68" t="s">
        <v>19</v>
      </c>
      <c r="G29" s="68" t="s">
        <v>114</v>
      </c>
      <c r="H29" s="68" t="s">
        <v>103</v>
      </c>
      <c r="I29" s="69">
        <v>45017.000601851854</v>
      </c>
      <c r="M29" s="68" t="s">
        <v>115</v>
      </c>
      <c r="N29" s="70">
        <v>7600000</v>
      </c>
    </row>
    <row r="30" spans="1:14" x14ac:dyDescent="0.4">
      <c r="A30" s="68" t="s">
        <v>123</v>
      </c>
      <c r="B30" s="73">
        <v>1605002</v>
      </c>
      <c r="C30" s="68" t="s">
        <v>100</v>
      </c>
      <c r="D30" s="68" t="s">
        <v>145</v>
      </c>
      <c r="E30" s="68" t="s">
        <v>24</v>
      </c>
      <c r="G30" s="68" t="s">
        <v>114</v>
      </c>
      <c r="H30" s="68" t="s">
        <v>103</v>
      </c>
      <c r="I30" s="69">
        <v>42009.000601851854</v>
      </c>
      <c r="M30" s="68" t="s">
        <v>115</v>
      </c>
      <c r="N30" s="70">
        <v>15000000</v>
      </c>
    </row>
    <row r="31" spans="1:14" x14ac:dyDescent="0.4">
      <c r="A31" s="68" t="s">
        <v>116</v>
      </c>
      <c r="B31" s="73">
        <v>9693017</v>
      </c>
      <c r="C31" s="68" t="s">
        <v>100</v>
      </c>
      <c r="D31" s="68" t="s">
        <v>146</v>
      </c>
      <c r="E31" s="68" t="s">
        <v>147</v>
      </c>
      <c r="G31" s="68" t="s">
        <v>114</v>
      </c>
      <c r="H31" s="68" t="s">
        <v>103</v>
      </c>
      <c r="I31" s="69">
        <v>45017.000601851854</v>
      </c>
      <c r="M31" s="68" t="s">
        <v>84</v>
      </c>
      <c r="N31" s="70">
        <v>26000000</v>
      </c>
    </row>
    <row r="32" spans="1:14" x14ac:dyDescent="0.4">
      <c r="A32" s="68" t="s">
        <v>116</v>
      </c>
      <c r="B32" s="73" t="s">
        <v>187</v>
      </c>
      <c r="C32" s="68" t="s">
        <v>100</v>
      </c>
      <c r="D32" s="68" t="s">
        <v>148</v>
      </c>
      <c r="E32" s="68" t="s">
        <v>24</v>
      </c>
      <c r="G32" s="68" t="s">
        <v>114</v>
      </c>
      <c r="H32" s="68" t="s">
        <v>103</v>
      </c>
      <c r="I32" s="69">
        <v>45017.000601851854</v>
      </c>
      <c r="M32" s="68" t="s">
        <v>115</v>
      </c>
      <c r="N32" s="70">
        <v>15000000</v>
      </c>
    </row>
    <row r="33" spans="1:14" x14ac:dyDescent="0.4">
      <c r="A33" s="68" t="s">
        <v>98</v>
      </c>
      <c r="B33" s="73">
        <v>2305003</v>
      </c>
      <c r="C33" s="68" t="s">
        <v>100</v>
      </c>
      <c r="D33" s="68" t="s">
        <v>149</v>
      </c>
      <c r="E33" s="68" t="s">
        <v>19</v>
      </c>
      <c r="G33" s="68" t="s">
        <v>114</v>
      </c>
      <c r="H33" s="68" t="s">
        <v>103</v>
      </c>
      <c r="I33" s="69">
        <v>45089.000601851854</v>
      </c>
      <c r="M33" s="68" t="s">
        <v>115</v>
      </c>
      <c r="N33" s="70">
        <v>7600000</v>
      </c>
    </row>
    <row r="34" spans="1:14" x14ac:dyDescent="0.4">
      <c r="A34" s="68" t="s">
        <v>98</v>
      </c>
      <c r="B34" s="73" t="s">
        <v>188</v>
      </c>
      <c r="C34" s="68" t="s">
        <v>100</v>
      </c>
      <c r="D34" s="68" t="s">
        <v>150</v>
      </c>
      <c r="E34" s="68" t="s">
        <v>112</v>
      </c>
      <c r="G34" s="68" t="s">
        <v>114</v>
      </c>
      <c r="H34" s="68" t="s">
        <v>103</v>
      </c>
      <c r="I34" s="69">
        <v>45017.000601851854</v>
      </c>
      <c r="M34" s="68" t="s">
        <v>115</v>
      </c>
      <c r="N34" s="70">
        <v>12100000</v>
      </c>
    </row>
    <row r="35" spans="1:14" x14ac:dyDescent="0.4">
      <c r="A35" s="68" t="s">
        <v>98</v>
      </c>
      <c r="B35" s="73">
        <v>2505006</v>
      </c>
      <c r="C35" s="68" t="s">
        <v>100</v>
      </c>
      <c r="D35" s="68" t="s">
        <v>151</v>
      </c>
      <c r="E35" s="68" t="s">
        <v>112</v>
      </c>
      <c r="G35" s="68" t="s">
        <v>114</v>
      </c>
      <c r="H35" s="68" t="s">
        <v>103</v>
      </c>
      <c r="I35" s="69">
        <v>45971.000601851854</v>
      </c>
      <c r="M35" s="68" t="s">
        <v>115</v>
      </c>
      <c r="N35" s="70">
        <v>12100000</v>
      </c>
    </row>
    <row r="36" spans="1:14" x14ac:dyDescent="0.4">
      <c r="A36" s="68" t="s">
        <v>123</v>
      </c>
      <c r="B36" s="73">
        <v>1605010</v>
      </c>
      <c r="C36" s="68" t="s">
        <v>100</v>
      </c>
      <c r="D36" s="68" t="s">
        <v>152</v>
      </c>
      <c r="E36" s="68" t="s">
        <v>24</v>
      </c>
      <c r="G36" s="68" t="s">
        <v>114</v>
      </c>
      <c r="H36" s="68" t="s">
        <v>103</v>
      </c>
      <c r="I36" s="69">
        <v>40544.000601851854</v>
      </c>
      <c r="M36" s="68" t="s">
        <v>115</v>
      </c>
      <c r="N36" s="70">
        <v>15000000</v>
      </c>
    </row>
    <row r="37" spans="1:14" x14ac:dyDescent="0.4">
      <c r="A37" s="68" t="s">
        <v>116</v>
      </c>
      <c r="B37" s="73">
        <v>2305009</v>
      </c>
      <c r="C37" s="68" t="s">
        <v>100</v>
      </c>
      <c r="D37" s="68" t="s">
        <v>153</v>
      </c>
      <c r="E37" s="68" t="s">
        <v>18</v>
      </c>
      <c r="G37" s="68" t="s">
        <v>114</v>
      </c>
      <c r="H37" s="68" t="s">
        <v>103</v>
      </c>
      <c r="I37" s="69">
        <v>45048.000601851854</v>
      </c>
      <c r="M37" s="68" t="s">
        <v>115</v>
      </c>
      <c r="N37" s="70">
        <v>6200000</v>
      </c>
    </row>
    <row r="38" spans="1:14" x14ac:dyDescent="0.4">
      <c r="A38" s="68" t="s">
        <v>116</v>
      </c>
      <c r="B38" s="73">
        <v>1791104</v>
      </c>
      <c r="C38" s="68" t="s">
        <v>100</v>
      </c>
      <c r="D38" s="68" t="s">
        <v>154</v>
      </c>
      <c r="E38" s="68" t="s">
        <v>21</v>
      </c>
      <c r="G38" s="68" t="s">
        <v>114</v>
      </c>
      <c r="H38" s="68" t="s">
        <v>103</v>
      </c>
      <c r="I38" s="69">
        <v>45017.000601851854</v>
      </c>
      <c r="M38" s="68" t="s">
        <v>115</v>
      </c>
      <c r="N38" s="70">
        <v>10600000</v>
      </c>
    </row>
    <row r="39" spans="1:14" x14ac:dyDescent="0.4">
      <c r="A39" s="68" t="s">
        <v>98</v>
      </c>
      <c r="B39" s="73">
        <v>1391550</v>
      </c>
      <c r="C39" s="68" t="s">
        <v>100</v>
      </c>
      <c r="D39" s="68" t="s">
        <v>155</v>
      </c>
      <c r="E39" s="68" t="s">
        <v>24</v>
      </c>
      <c r="G39" s="68" t="s">
        <v>114</v>
      </c>
      <c r="H39" s="68" t="s">
        <v>103</v>
      </c>
      <c r="I39" s="69">
        <v>45047.000601851854</v>
      </c>
      <c r="M39" s="68" t="s">
        <v>115</v>
      </c>
      <c r="N39" s="70">
        <v>15000000</v>
      </c>
    </row>
    <row r="40" spans="1:14" x14ac:dyDescent="0.4">
      <c r="A40" s="68" t="s">
        <v>116</v>
      </c>
      <c r="B40" s="73">
        <v>1691114</v>
      </c>
      <c r="C40" s="68" t="s">
        <v>100</v>
      </c>
      <c r="D40" s="68" t="s">
        <v>156</v>
      </c>
      <c r="E40" s="68" t="s">
        <v>112</v>
      </c>
      <c r="G40" s="68" t="s">
        <v>114</v>
      </c>
      <c r="H40" s="68" t="s">
        <v>103</v>
      </c>
      <c r="I40" s="69">
        <v>45017.000601851854</v>
      </c>
      <c r="M40" s="68" t="s">
        <v>115</v>
      </c>
      <c r="N40" s="70">
        <v>12100000</v>
      </c>
    </row>
    <row r="41" spans="1:14" x14ac:dyDescent="0.4">
      <c r="A41" s="68" t="s">
        <v>98</v>
      </c>
      <c r="B41" s="73">
        <v>1990310</v>
      </c>
      <c r="C41" s="68" t="s">
        <v>100</v>
      </c>
      <c r="D41" s="68" t="s">
        <v>157</v>
      </c>
      <c r="E41" s="68" t="s">
        <v>21</v>
      </c>
      <c r="G41" s="68" t="s">
        <v>114</v>
      </c>
      <c r="H41" s="68" t="s">
        <v>103</v>
      </c>
      <c r="I41" s="69">
        <v>45017.000601851854</v>
      </c>
      <c r="M41" s="68" t="s">
        <v>115</v>
      </c>
      <c r="N41" s="70">
        <v>10600000</v>
      </c>
    </row>
    <row r="42" spans="1:14" x14ac:dyDescent="0.4">
      <c r="A42" s="68" t="s">
        <v>98</v>
      </c>
      <c r="B42" s="73">
        <v>2291107</v>
      </c>
      <c r="C42" s="68" t="s">
        <v>100</v>
      </c>
      <c r="D42" s="68" t="s">
        <v>158</v>
      </c>
      <c r="E42" s="68" t="s">
        <v>19</v>
      </c>
      <c r="G42" s="68" t="s">
        <v>114</v>
      </c>
      <c r="H42" s="68" t="s">
        <v>103</v>
      </c>
      <c r="I42" s="69">
        <v>45017.000601851854</v>
      </c>
      <c r="M42" s="68" t="s">
        <v>115</v>
      </c>
      <c r="N42" s="70">
        <v>7600000</v>
      </c>
    </row>
    <row r="43" spans="1:14" x14ac:dyDescent="0.4">
      <c r="A43" s="68" t="s">
        <v>98</v>
      </c>
      <c r="B43" s="73">
        <v>2305005</v>
      </c>
      <c r="C43" s="68" t="s">
        <v>100</v>
      </c>
      <c r="D43" s="68" t="s">
        <v>159</v>
      </c>
      <c r="E43" s="68" t="s">
        <v>18</v>
      </c>
      <c r="G43" s="68" t="s">
        <v>114</v>
      </c>
      <c r="H43" s="68" t="s">
        <v>103</v>
      </c>
      <c r="I43" s="69">
        <v>45048.000601851854</v>
      </c>
      <c r="M43" s="68" t="s">
        <v>115</v>
      </c>
      <c r="N43" s="70">
        <v>6200000</v>
      </c>
    </row>
    <row r="44" spans="1:14" x14ac:dyDescent="0.4">
      <c r="A44" s="68" t="s">
        <v>123</v>
      </c>
      <c r="B44" s="73">
        <v>2305001</v>
      </c>
      <c r="C44" s="68" t="s">
        <v>100</v>
      </c>
      <c r="D44" s="68" t="s">
        <v>160</v>
      </c>
      <c r="E44" s="68" t="s">
        <v>112</v>
      </c>
      <c r="G44" s="68" t="s">
        <v>114</v>
      </c>
      <c r="H44" s="68" t="s">
        <v>103</v>
      </c>
      <c r="I44" s="69">
        <v>45019.000601851854</v>
      </c>
      <c r="M44" s="68" t="s">
        <v>115</v>
      </c>
      <c r="N44" s="70">
        <v>12100000</v>
      </c>
    </row>
    <row r="45" spans="1:14" x14ac:dyDescent="0.4">
      <c r="A45" s="68" t="s">
        <v>98</v>
      </c>
      <c r="B45" s="73">
        <v>2305007</v>
      </c>
      <c r="C45" s="68" t="s">
        <v>100</v>
      </c>
      <c r="D45" s="68" t="s">
        <v>161</v>
      </c>
      <c r="E45" s="68" t="s">
        <v>18</v>
      </c>
      <c r="G45" s="68" t="s">
        <v>114</v>
      </c>
      <c r="H45" s="68" t="s">
        <v>103</v>
      </c>
      <c r="I45" s="69">
        <v>45048.000601851854</v>
      </c>
      <c r="M45" s="68" t="s">
        <v>115</v>
      </c>
      <c r="N45" s="70">
        <v>6200000</v>
      </c>
    </row>
    <row r="46" spans="1:14" x14ac:dyDescent="0.4">
      <c r="A46" s="68" t="s">
        <v>116</v>
      </c>
      <c r="B46" s="73">
        <v>2505007</v>
      </c>
      <c r="C46" s="68" t="s">
        <v>100</v>
      </c>
      <c r="D46" s="68" t="s">
        <v>162</v>
      </c>
      <c r="E46" s="68" t="s">
        <v>25</v>
      </c>
      <c r="G46" s="68" t="s">
        <v>114</v>
      </c>
      <c r="H46" s="68" t="s">
        <v>103</v>
      </c>
      <c r="I46" s="69">
        <v>45999.000601851854</v>
      </c>
      <c r="M46" s="68" t="s">
        <v>115</v>
      </c>
      <c r="N46" s="70">
        <v>17000000</v>
      </c>
    </row>
    <row r="47" spans="1:14" x14ac:dyDescent="0.4">
      <c r="A47" s="68" t="s">
        <v>163</v>
      </c>
      <c r="B47" s="73">
        <v>2415029</v>
      </c>
      <c r="C47" s="68" t="s">
        <v>100</v>
      </c>
      <c r="D47" s="68" t="s">
        <v>164</v>
      </c>
      <c r="E47" s="68" t="s">
        <v>165</v>
      </c>
      <c r="G47" s="68" t="s">
        <v>114</v>
      </c>
      <c r="H47" s="68" t="s">
        <v>103</v>
      </c>
      <c r="I47" s="69">
        <v>46054.000601851854</v>
      </c>
      <c r="N47" s="70">
        <v>31000000</v>
      </c>
    </row>
    <row r="48" spans="1:14" x14ac:dyDescent="0.4">
      <c r="A48" s="68" t="s">
        <v>98</v>
      </c>
      <c r="B48" s="73">
        <v>2290302</v>
      </c>
      <c r="C48" s="68" t="s">
        <v>100</v>
      </c>
      <c r="D48" s="68" t="s">
        <v>166</v>
      </c>
      <c r="E48" s="68" t="s">
        <v>23</v>
      </c>
      <c r="G48" s="68" t="s">
        <v>114</v>
      </c>
      <c r="H48" s="68" t="s">
        <v>103</v>
      </c>
      <c r="I48" s="69">
        <v>45017.000601851854</v>
      </c>
      <c r="M48" s="68" t="s">
        <v>115</v>
      </c>
      <c r="N48" s="70">
        <v>13400000</v>
      </c>
    </row>
    <row r="49" spans="1:14" x14ac:dyDescent="0.4">
      <c r="A49" s="68" t="s">
        <v>116</v>
      </c>
      <c r="B49" s="73">
        <v>9791520</v>
      </c>
      <c r="C49" s="68" t="s">
        <v>100</v>
      </c>
      <c r="D49" s="68" t="s">
        <v>167</v>
      </c>
      <c r="E49" s="68" t="s">
        <v>24</v>
      </c>
      <c r="G49" s="68" t="s">
        <v>114</v>
      </c>
      <c r="H49" s="68" t="s">
        <v>103</v>
      </c>
      <c r="I49" s="69">
        <v>45017.000601851854</v>
      </c>
      <c r="M49" s="68" t="s">
        <v>115</v>
      </c>
      <c r="N49" s="70">
        <v>15000000</v>
      </c>
    </row>
    <row r="50" spans="1:14" x14ac:dyDescent="0.4">
      <c r="A50" s="68" t="s">
        <v>116</v>
      </c>
      <c r="B50" s="73">
        <v>2305010</v>
      </c>
      <c r="C50" s="68" t="s">
        <v>100</v>
      </c>
      <c r="D50" s="68" t="s">
        <v>168</v>
      </c>
      <c r="E50" s="68" t="s">
        <v>18</v>
      </c>
      <c r="G50" s="68" t="s">
        <v>114</v>
      </c>
      <c r="H50" s="68" t="s">
        <v>103</v>
      </c>
      <c r="I50" s="69">
        <v>45048.000601851854</v>
      </c>
      <c r="M50" s="68" t="s">
        <v>115</v>
      </c>
      <c r="N50" s="70">
        <v>6200000</v>
      </c>
    </row>
    <row r="51" spans="1:14" x14ac:dyDescent="0.4">
      <c r="A51" s="68" t="s">
        <v>116</v>
      </c>
      <c r="B51" s="73">
        <v>2305012</v>
      </c>
      <c r="C51" s="68" t="s">
        <v>100</v>
      </c>
      <c r="D51" s="68" t="s">
        <v>169</v>
      </c>
      <c r="E51" s="68" t="s">
        <v>18</v>
      </c>
      <c r="G51" s="68" t="s">
        <v>114</v>
      </c>
      <c r="H51" s="68" t="s">
        <v>103</v>
      </c>
      <c r="I51" s="69">
        <v>45110.000601851854</v>
      </c>
      <c r="M51" s="68" t="s">
        <v>115</v>
      </c>
      <c r="N51" s="70">
        <v>6200000</v>
      </c>
    </row>
    <row r="52" spans="1:14" x14ac:dyDescent="0.4">
      <c r="A52" s="68" t="s">
        <v>98</v>
      </c>
      <c r="B52" s="73">
        <v>2505004</v>
      </c>
      <c r="C52" s="68" t="s">
        <v>100</v>
      </c>
      <c r="D52" s="68" t="s">
        <v>170</v>
      </c>
      <c r="E52" s="68" t="s">
        <v>65</v>
      </c>
      <c r="G52" s="68" t="s">
        <v>114</v>
      </c>
      <c r="H52" s="68" t="s">
        <v>103</v>
      </c>
      <c r="I52" s="69">
        <v>45925.000601851854</v>
      </c>
      <c r="M52" s="68" t="s">
        <v>132</v>
      </c>
      <c r="N52" s="70">
        <v>13400000</v>
      </c>
    </row>
    <row r="53" spans="1:14" x14ac:dyDescent="0.4">
      <c r="A53" s="68" t="s">
        <v>98</v>
      </c>
      <c r="B53" s="73">
        <v>1192465</v>
      </c>
      <c r="C53" s="68" t="s">
        <v>100</v>
      </c>
      <c r="D53" s="68" t="s">
        <v>171</v>
      </c>
      <c r="E53" s="68" t="s">
        <v>112</v>
      </c>
      <c r="G53" s="68" t="s">
        <v>114</v>
      </c>
      <c r="H53" s="68" t="s">
        <v>103</v>
      </c>
      <c r="I53" s="69">
        <v>45017.000601851854</v>
      </c>
      <c r="M53" s="68" t="s">
        <v>115</v>
      </c>
      <c r="N53" s="70">
        <v>12100000</v>
      </c>
    </row>
    <row r="54" spans="1:14" x14ac:dyDescent="0.4">
      <c r="A54" s="68" t="s">
        <v>98</v>
      </c>
      <c r="B54" s="73">
        <v>2290909</v>
      </c>
      <c r="C54" s="68" t="s">
        <v>100</v>
      </c>
      <c r="D54" s="68" t="s">
        <v>172</v>
      </c>
      <c r="E54" s="68" t="s">
        <v>18</v>
      </c>
      <c r="G54" s="68" t="s">
        <v>114</v>
      </c>
      <c r="H54" s="68" t="s">
        <v>103</v>
      </c>
      <c r="I54" s="69">
        <v>45017.000601851854</v>
      </c>
      <c r="M54" s="68" t="s">
        <v>115</v>
      </c>
      <c r="N54" s="70">
        <v>6200000</v>
      </c>
    </row>
    <row r="55" spans="1:14" x14ac:dyDescent="0.4">
      <c r="A55" s="68" t="s">
        <v>116</v>
      </c>
      <c r="B55" s="73">
        <v>9691700</v>
      </c>
      <c r="C55" s="68" t="s">
        <v>100</v>
      </c>
      <c r="D55" s="68" t="s">
        <v>173</v>
      </c>
      <c r="E55" s="68" t="s">
        <v>23</v>
      </c>
      <c r="G55" s="68" t="s">
        <v>114</v>
      </c>
      <c r="H55" s="68" t="s">
        <v>103</v>
      </c>
      <c r="I55" s="69">
        <v>45017.000601851854</v>
      </c>
      <c r="M55" s="68" t="s">
        <v>115</v>
      </c>
      <c r="N55" s="70">
        <v>13400000</v>
      </c>
    </row>
    <row r="56" spans="1:14" x14ac:dyDescent="0.4">
      <c r="A56" s="68" t="s">
        <v>116</v>
      </c>
      <c r="B56" s="73">
        <v>1690313</v>
      </c>
      <c r="C56" s="68" t="s">
        <v>100</v>
      </c>
      <c r="D56" s="68" t="s">
        <v>174</v>
      </c>
      <c r="E56" s="68" t="s">
        <v>23</v>
      </c>
      <c r="G56" s="68" t="s">
        <v>114</v>
      </c>
      <c r="H56" s="68" t="s">
        <v>103</v>
      </c>
      <c r="I56" s="69">
        <v>45017.000601851854</v>
      </c>
      <c r="M56" s="68" t="s">
        <v>115</v>
      </c>
      <c r="N56" s="70">
        <v>13400000</v>
      </c>
    </row>
    <row r="57" spans="1:14" x14ac:dyDescent="0.4">
      <c r="A57" s="68" t="s">
        <v>116</v>
      </c>
      <c r="B57" s="73">
        <v>2290908</v>
      </c>
      <c r="C57" s="68" t="s">
        <v>100</v>
      </c>
      <c r="D57" s="68" t="s">
        <v>175</v>
      </c>
      <c r="E57" s="68" t="s">
        <v>18</v>
      </c>
      <c r="G57" s="68" t="s">
        <v>114</v>
      </c>
      <c r="H57" s="68" t="s">
        <v>103</v>
      </c>
      <c r="I57" s="69">
        <v>45017.000601851854</v>
      </c>
      <c r="M57" s="68" t="s">
        <v>115</v>
      </c>
      <c r="N57" s="70">
        <v>6200000</v>
      </c>
    </row>
    <row r="58" spans="1:14" x14ac:dyDescent="0.4">
      <c r="A58" s="68" t="s">
        <v>98</v>
      </c>
      <c r="B58" s="73">
        <v>2305014</v>
      </c>
      <c r="C58" s="68" t="s">
        <v>100</v>
      </c>
      <c r="D58" s="68" t="s">
        <v>176</v>
      </c>
      <c r="E58" s="68" t="s">
        <v>24</v>
      </c>
      <c r="G58" s="68" t="s">
        <v>114</v>
      </c>
      <c r="H58" s="68" t="s">
        <v>103</v>
      </c>
      <c r="I58" s="69">
        <v>45278.000601851854</v>
      </c>
      <c r="M58" s="68" t="s">
        <v>115</v>
      </c>
      <c r="N58" s="70">
        <v>15000000</v>
      </c>
    </row>
    <row r="59" spans="1:14" x14ac:dyDescent="0.4">
      <c r="A59" s="68" t="s">
        <v>123</v>
      </c>
      <c r="B59" s="73">
        <v>2205006</v>
      </c>
      <c r="C59" s="68" t="s">
        <v>100</v>
      </c>
      <c r="D59" s="68" t="s">
        <v>177</v>
      </c>
      <c r="E59" s="68" t="s">
        <v>18</v>
      </c>
      <c r="G59" s="68" t="s">
        <v>114</v>
      </c>
      <c r="H59" s="68" t="s">
        <v>103</v>
      </c>
      <c r="I59" s="69">
        <v>44805.000601851854</v>
      </c>
      <c r="M59" s="68" t="s">
        <v>115</v>
      </c>
      <c r="N59" s="70">
        <v>6200000</v>
      </c>
    </row>
    <row r="60" spans="1:14" x14ac:dyDescent="0.4">
      <c r="A60" s="68" t="s">
        <v>116</v>
      </c>
      <c r="B60" s="73">
        <v>1791105</v>
      </c>
      <c r="C60" s="68" t="s">
        <v>100</v>
      </c>
      <c r="D60" s="68" t="s">
        <v>178</v>
      </c>
      <c r="E60" s="68" t="s">
        <v>21</v>
      </c>
      <c r="G60" s="68" t="s">
        <v>114</v>
      </c>
      <c r="H60" s="68" t="s">
        <v>103</v>
      </c>
      <c r="I60" s="69">
        <v>45017.000601851854</v>
      </c>
      <c r="M60" s="68" t="s">
        <v>115</v>
      </c>
      <c r="N60" s="70">
        <v>10600000</v>
      </c>
    </row>
    <row r="61" spans="1:14" x14ac:dyDescent="0.4">
      <c r="A61" s="68" t="s">
        <v>98</v>
      </c>
      <c r="B61" s="73" t="s">
        <v>189</v>
      </c>
      <c r="C61" s="68" t="s">
        <v>100</v>
      </c>
      <c r="D61" s="68" t="s">
        <v>179</v>
      </c>
      <c r="E61" s="68" t="s">
        <v>24</v>
      </c>
      <c r="G61" s="68" t="s">
        <v>114</v>
      </c>
      <c r="H61" s="68" t="s">
        <v>103</v>
      </c>
      <c r="I61" s="69">
        <v>45809.000601851854</v>
      </c>
      <c r="M61" s="68" t="s">
        <v>115</v>
      </c>
      <c r="N61" s="70">
        <v>15000000</v>
      </c>
    </row>
    <row r="62" spans="1:14" x14ac:dyDescent="0.4">
      <c r="A62" s="68" t="s">
        <v>98</v>
      </c>
      <c r="B62" s="73">
        <v>2190113</v>
      </c>
      <c r="C62" s="68" t="s">
        <v>100</v>
      </c>
      <c r="D62" s="68" t="s">
        <v>180</v>
      </c>
      <c r="E62" s="68" t="s">
        <v>21</v>
      </c>
      <c r="G62" s="68" t="s">
        <v>114</v>
      </c>
      <c r="H62" s="68" t="s">
        <v>103</v>
      </c>
      <c r="I62" s="69">
        <v>45017.000601851854</v>
      </c>
      <c r="M62" s="68" t="s">
        <v>115</v>
      </c>
      <c r="N62" s="70">
        <v>10600000</v>
      </c>
    </row>
    <row r="63" spans="1:14" x14ac:dyDescent="0.4">
      <c r="A63" s="68" t="s">
        <v>116</v>
      </c>
      <c r="B63" s="73">
        <v>2390402</v>
      </c>
      <c r="C63" s="68" t="s">
        <v>100</v>
      </c>
      <c r="D63" s="68" t="s">
        <v>181</v>
      </c>
      <c r="E63" s="68" t="s">
        <v>20</v>
      </c>
      <c r="G63" s="68" t="s">
        <v>114</v>
      </c>
      <c r="H63" s="68" t="s">
        <v>103</v>
      </c>
      <c r="I63" s="69">
        <v>45020.000601851854</v>
      </c>
      <c r="M63" s="68" t="s">
        <v>115</v>
      </c>
      <c r="N63" s="70">
        <v>9000000</v>
      </c>
    </row>
    <row r="64" spans="1:14" x14ac:dyDescent="0.4">
      <c r="A64" s="68" t="s">
        <v>98</v>
      </c>
      <c r="B64" s="73">
        <v>2390202</v>
      </c>
      <c r="C64" s="68" t="s">
        <v>100</v>
      </c>
      <c r="D64" s="68" t="s">
        <v>182</v>
      </c>
      <c r="E64" s="68" t="s">
        <v>112</v>
      </c>
      <c r="G64" s="68" t="s">
        <v>114</v>
      </c>
      <c r="H64" s="68" t="s">
        <v>103</v>
      </c>
      <c r="I64" s="69">
        <v>45017.000601851854</v>
      </c>
      <c r="M64" s="68" t="s">
        <v>115</v>
      </c>
      <c r="N64" s="70">
        <v>12100000</v>
      </c>
    </row>
  </sheetData>
  <phoneticPr fontId="3" type="noConversion"/>
  <conditionalFormatting sqref="A1">
    <cfRule type="duplicateValues" dxfId="7" priority="1"/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2A1D-37E6-4753-A516-89198C7FEAF8}">
  <dimension ref="A1:N64"/>
  <sheetViews>
    <sheetView zoomScale="85" zoomScaleNormal="85" workbookViewId="0">
      <selection activeCell="B67" sqref="B67"/>
    </sheetView>
  </sheetViews>
  <sheetFormatPr defaultRowHeight="17.399999999999999" x14ac:dyDescent="0.4"/>
  <cols>
    <col min="1" max="1" width="23.59765625" style="68" bestFit="1" customWidth="1"/>
    <col min="2" max="2" width="12.19921875" style="68" bestFit="1" customWidth="1"/>
    <col min="3" max="3" width="8.796875" style="68"/>
    <col min="4" max="4" width="21.69921875" style="68" bestFit="1" customWidth="1"/>
    <col min="5" max="5" width="12.3984375" style="68" bestFit="1" customWidth="1"/>
    <col min="6" max="6" width="10.19921875" style="68" bestFit="1" customWidth="1"/>
    <col min="7" max="7" width="9" style="68" bestFit="1" customWidth="1"/>
    <col min="8" max="8" width="15.3984375" style="68" bestFit="1" customWidth="1"/>
    <col min="9" max="9" width="13.8984375" style="68" bestFit="1" customWidth="1"/>
    <col min="10" max="10" width="11.09765625" style="68" bestFit="1" customWidth="1"/>
    <col min="11" max="11" width="10.8984375" style="68" bestFit="1" customWidth="1"/>
    <col min="12" max="13" width="10.09765625" style="68" bestFit="1" customWidth="1"/>
    <col min="14" max="14" width="11.8984375" style="68" bestFit="1" customWidth="1"/>
    <col min="15" max="16384" width="8.796875" style="68"/>
  </cols>
  <sheetData>
    <row r="1" spans="1:14" x14ac:dyDescent="0.4">
      <c r="A1" s="71" t="s">
        <v>85</v>
      </c>
      <c r="B1" s="71" t="s">
        <v>86</v>
      </c>
      <c r="C1" s="71" t="s">
        <v>87</v>
      </c>
      <c r="D1" s="71" t="s">
        <v>88</v>
      </c>
      <c r="E1" s="71" t="s">
        <v>89</v>
      </c>
      <c r="F1" s="71" t="s">
        <v>90</v>
      </c>
      <c r="G1" s="71" t="s">
        <v>91</v>
      </c>
      <c r="H1" s="71" t="s">
        <v>92</v>
      </c>
      <c r="I1" s="71" t="s">
        <v>93</v>
      </c>
      <c r="J1" s="71" t="s">
        <v>94</v>
      </c>
      <c r="K1" s="71" t="s">
        <v>95</v>
      </c>
      <c r="L1" s="71" t="s">
        <v>96</v>
      </c>
      <c r="M1" s="71" t="s">
        <v>97</v>
      </c>
      <c r="N1" s="72" t="s">
        <v>183</v>
      </c>
    </row>
    <row r="2" spans="1:14" x14ac:dyDescent="0.4">
      <c r="A2" s="68" t="s">
        <v>98</v>
      </c>
      <c r="B2" s="68" t="s">
        <v>99</v>
      </c>
      <c r="C2" s="68" t="s">
        <v>100</v>
      </c>
      <c r="D2" s="68" t="s">
        <v>101</v>
      </c>
      <c r="E2" s="68" t="s">
        <v>21</v>
      </c>
      <c r="G2" s="68" t="s">
        <v>102</v>
      </c>
      <c r="H2" s="68" t="s">
        <v>103</v>
      </c>
      <c r="I2" s="69">
        <v>46327.000601851854</v>
      </c>
      <c r="N2" s="70">
        <v>10500000</v>
      </c>
    </row>
    <row r="3" spans="1:14" x14ac:dyDescent="0.4">
      <c r="A3" s="68" t="s">
        <v>98</v>
      </c>
      <c r="B3" s="68" t="s">
        <v>104</v>
      </c>
      <c r="C3" s="68" t="s">
        <v>100</v>
      </c>
      <c r="D3" s="68" t="s">
        <v>105</v>
      </c>
      <c r="E3" s="68" t="s">
        <v>19</v>
      </c>
      <c r="G3" s="68" t="s">
        <v>102</v>
      </c>
      <c r="H3" s="68" t="s">
        <v>103</v>
      </c>
      <c r="I3" s="69">
        <v>46204.000601851854</v>
      </c>
      <c r="N3" s="70">
        <v>7500000</v>
      </c>
    </row>
    <row r="4" spans="1:14" x14ac:dyDescent="0.4">
      <c r="A4" s="68" t="s">
        <v>98</v>
      </c>
      <c r="B4" s="68" t="s">
        <v>106</v>
      </c>
      <c r="C4" s="68" t="s">
        <v>100</v>
      </c>
      <c r="D4" s="68" t="s">
        <v>107</v>
      </c>
      <c r="E4" s="68" t="s">
        <v>24</v>
      </c>
      <c r="G4" s="68" t="s">
        <v>102</v>
      </c>
      <c r="H4" s="68" t="s">
        <v>103</v>
      </c>
      <c r="I4" s="69">
        <v>46266.000601851854</v>
      </c>
      <c r="N4" s="70">
        <v>15000000</v>
      </c>
    </row>
    <row r="5" spans="1:14" x14ac:dyDescent="0.4">
      <c r="A5" s="68" t="s">
        <v>98</v>
      </c>
      <c r="B5" s="68" t="s">
        <v>108</v>
      </c>
      <c r="C5" s="68" t="s">
        <v>100</v>
      </c>
      <c r="D5" s="68" t="s">
        <v>109</v>
      </c>
      <c r="E5" s="68" t="s">
        <v>23</v>
      </c>
      <c r="G5" s="68" t="s">
        <v>102</v>
      </c>
      <c r="H5" s="68" t="s">
        <v>103</v>
      </c>
      <c r="I5" s="69">
        <v>46266.000601851854</v>
      </c>
      <c r="N5" s="70">
        <v>13400000</v>
      </c>
    </row>
    <row r="6" spans="1:14" x14ac:dyDescent="0.4">
      <c r="A6" s="68" t="s">
        <v>98</v>
      </c>
      <c r="B6" s="68" t="s">
        <v>110</v>
      </c>
      <c r="C6" s="68" t="s">
        <v>100</v>
      </c>
      <c r="D6" s="68" t="s">
        <v>111</v>
      </c>
      <c r="E6" s="68" t="s">
        <v>112</v>
      </c>
      <c r="G6" s="68" t="s">
        <v>102</v>
      </c>
      <c r="H6" s="68" t="s">
        <v>103</v>
      </c>
      <c r="I6" s="69">
        <v>46296.000601851854</v>
      </c>
      <c r="N6" s="70">
        <v>11900000</v>
      </c>
    </row>
    <row r="7" spans="1:14" x14ac:dyDescent="0.4">
      <c r="A7" s="68" t="s">
        <v>98</v>
      </c>
      <c r="B7" s="73" t="s">
        <v>184</v>
      </c>
      <c r="C7" s="68" t="s">
        <v>100</v>
      </c>
      <c r="D7" s="68" t="s">
        <v>113</v>
      </c>
      <c r="E7" s="68" t="s">
        <v>24</v>
      </c>
      <c r="G7" s="68" t="s">
        <v>114</v>
      </c>
      <c r="H7" s="68" t="s">
        <v>103</v>
      </c>
      <c r="I7" s="69">
        <v>45017.000601851854</v>
      </c>
      <c r="M7" s="68" t="s">
        <v>115</v>
      </c>
      <c r="N7" s="70">
        <v>15000000</v>
      </c>
    </row>
    <row r="8" spans="1:14" x14ac:dyDescent="0.4">
      <c r="A8" s="68" t="s">
        <v>116</v>
      </c>
      <c r="B8" s="68" t="s">
        <v>117</v>
      </c>
      <c r="C8" s="68" t="s">
        <v>100</v>
      </c>
      <c r="D8" s="68" t="s">
        <v>118</v>
      </c>
      <c r="E8" s="68" t="s">
        <v>24</v>
      </c>
      <c r="G8" s="68" t="s">
        <v>102</v>
      </c>
      <c r="H8" s="68" t="s">
        <v>103</v>
      </c>
      <c r="I8" s="69">
        <v>46204.000601851854</v>
      </c>
      <c r="N8" s="70">
        <v>15000000</v>
      </c>
    </row>
    <row r="9" spans="1:14" x14ac:dyDescent="0.4">
      <c r="A9" s="68" t="s">
        <v>116</v>
      </c>
      <c r="B9" s="68" t="s">
        <v>121</v>
      </c>
      <c r="C9" s="68" t="s">
        <v>100</v>
      </c>
      <c r="D9" s="68" t="s">
        <v>122</v>
      </c>
      <c r="E9" s="68" t="s">
        <v>26</v>
      </c>
      <c r="G9" s="68" t="s">
        <v>102</v>
      </c>
      <c r="H9" s="68" t="s">
        <v>103</v>
      </c>
      <c r="I9" s="69">
        <v>46174.000601851854</v>
      </c>
      <c r="N9" s="70">
        <v>18000000</v>
      </c>
    </row>
    <row r="10" spans="1:14" x14ac:dyDescent="0.4">
      <c r="A10" s="68" t="s">
        <v>123</v>
      </c>
      <c r="B10" s="73">
        <v>2205005</v>
      </c>
      <c r="C10" s="68" t="s">
        <v>100</v>
      </c>
      <c r="D10" s="68" t="s">
        <v>124</v>
      </c>
      <c r="E10" s="68" t="s">
        <v>19</v>
      </c>
      <c r="G10" s="68" t="s">
        <v>114</v>
      </c>
      <c r="H10" s="68" t="s">
        <v>103</v>
      </c>
      <c r="I10" s="69">
        <v>44805.000601851854</v>
      </c>
      <c r="M10" s="68" t="s">
        <v>115</v>
      </c>
      <c r="N10" s="70">
        <v>7500000</v>
      </c>
    </row>
    <row r="11" spans="1:14" x14ac:dyDescent="0.4">
      <c r="A11" s="68" t="s">
        <v>116</v>
      </c>
      <c r="B11" s="73">
        <v>2390401</v>
      </c>
      <c r="C11" s="68" t="s">
        <v>100</v>
      </c>
      <c r="D11" s="68" t="s">
        <v>125</v>
      </c>
      <c r="E11" s="68" t="s">
        <v>20</v>
      </c>
      <c r="G11" s="68" t="s">
        <v>114</v>
      </c>
      <c r="H11" s="68" t="s">
        <v>103</v>
      </c>
      <c r="I11" s="69">
        <v>45020.000601851854</v>
      </c>
      <c r="M11" s="68" t="s">
        <v>115</v>
      </c>
      <c r="N11" s="70">
        <v>9000000</v>
      </c>
    </row>
    <row r="12" spans="1:14" x14ac:dyDescent="0.4">
      <c r="A12" s="68" t="s">
        <v>116</v>
      </c>
      <c r="B12" s="73">
        <v>1990311</v>
      </c>
      <c r="C12" s="68" t="s">
        <v>100</v>
      </c>
      <c r="D12" s="68" t="s">
        <v>126</v>
      </c>
      <c r="E12" s="68" t="s">
        <v>20</v>
      </c>
      <c r="G12" s="68" t="s">
        <v>114</v>
      </c>
      <c r="H12" s="68" t="s">
        <v>103</v>
      </c>
      <c r="I12" s="69">
        <v>45017.000601851854</v>
      </c>
      <c r="M12" s="68" t="s">
        <v>115</v>
      </c>
      <c r="N12" s="70">
        <v>9000000</v>
      </c>
    </row>
    <row r="13" spans="1:14" x14ac:dyDescent="0.4">
      <c r="A13" s="68" t="s">
        <v>116</v>
      </c>
      <c r="B13" s="73">
        <v>2605001</v>
      </c>
      <c r="C13" s="68" t="s">
        <v>100</v>
      </c>
      <c r="D13" s="68" t="s">
        <v>190</v>
      </c>
      <c r="E13" s="68" t="s">
        <v>25</v>
      </c>
      <c r="G13" s="68" t="s">
        <v>114</v>
      </c>
      <c r="H13" s="68" t="s">
        <v>103</v>
      </c>
      <c r="I13" s="69">
        <v>46104.000601851854</v>
      </c>
      <c r="M13" s="68" t="s">
        <v>115</v>
      </c>
      <c r="N13" s="70">
        <v>16500000</v>
      </c>
    </row>
    <row r="14" spans="1:14" x14ac:dyDescent="0.4">
      <c r="A14" s="68" t="s">
        <v>123</v>
      </c>
      <c r="B14" s="73">
        <v>2405003</v>
      </c>
      <c r="C14" s="68" t="s">
        <v>100</v>
      </c>
      <c r="D14" s="68" t="s">
        <v>127</v>
      </c>
      <c r="E14" s="68" t="s">
        <v>23</v>
      </c>
      <c r="G14" s="68" t="s">
        <v>114</v>
      </c>
      <c r="H14" s="68" t="s">
        <v>103</v>
      </c>
      <c r="I14" s="69">
        <v>45656.000601851854</v>
      </c>
      <c r="M14" s="68" t="s">
        <v>115</v>
      </c>
      <c r="N14" s="70">
        <v>13400000</v>
      </c>
    </row>
    <row r="15" spans="1:14" x14ac:dyDescent="0.4">
      <c r="A15" s="68" t="s">
        <v>123</v>
      </c>
      <c r="B15" s="73">
        <v>1605038</v>
      </c>
      <c r="C15" s="68" t="s">
        <v>100</v>
      </c>
      <c r="D15" s="68" t="s">
        <v>128</v>
      </c>
      <c r="E15" s="68" t="s">
        <v>20</v>
      </c>
      <c r="G15" s="68" t="s">
        <v>114</v>
      </c>
      <c r="H15" s="68" t="s">
        <v>103</v>
      </c>
      <c r="I15" s="69">
        <v>41624.000601851854</v>
      </c>
      <c r="M15" s="68" t="s">
        <v>115</v>
      </c>
      <c r="N15" s="70">
        <v>9000000</v>
      </c>
    </row>
    <row r="16" spans="1:14" x14ac:dyDescent="0.4">
      <c r="A16" s="68" t="s">
        <v>98</v>
      </c>
      <c r="B16" s="73">
        <v>2290704</v>
      </c>
      <c r="C16" s="68" t="s">
        <v>100</v>
      </c>
      <c r="D16" s="68" t="s">
        <v>129</v>
      </c>
      <c r="E16" s="68" t="s">
        <v>23</v>
      </c>
      <c r="G16" s="68" t="s">
        <v>114</v>
      </c>
      <c r="H16" s="68" t="s">
        <v>103</v>
      </c>
      <c r="I16" s="69">
        <v>45017.000601851854</v>
      </c>
      <c r="M16" s="68" t="s">
        <v>115</v>
      </c>
      <c r="N16" s="70">
        <v>13400000</v>
      </c>
    </row>
    <row r="17" spans="1:14" x14ac:dyDescent="0.4">
      <c r="A17" s="68" t="s">
        <v>98</v>
      </c>
      <c r="B17" s="73">
        <v>2291105</v>
      </c>
      <c r="C17" s="68" t="s">
        <v>100</v>
      </c>
      <c r="D17" s="68" t="s">
        <v>130</v>
      </c>
      <c r="E17" s="68" t="s">
        <v>20</v>
      </c>
      <c r="G17" s="68" t="s">
        <v>114</v>
      </c>
      <c r="H17" s="68" t="s">
        <v>103</v>
      </c>
      <c r="I17" s="69">
        <v>45017.000601851854</v>
      </c>
      <c r="M17" s="68" t="s">
        <v>115</v>
      </c>
      <c r="N17" s="70">
        <v>9000000</v>
      </c>
    </row>
    <row r="18" spans="1:14" x14ac:dyDescent="0.4">
      <c r="A18" s="68" t="s">
        <v>116</v>
      </c>
      <c r="B18" s="73">
        <v>2505001</v>
      </c>
      <c r="C18" s="68" t="s">
        <v>100</v>
      </c>
      <c r="D18" s="68" t="s">
        <v>131</v>
      </c>
      <c r="E18" s="68" t="s">
        <v>63</v>
      </c>
      <c r="G18" s="68" t="s">
        <v>114</v>
      </c>
      <c r="H18" s="68" t="s">
        <v>103</v>
      </c>
      <c r="I18" s="69">
        <v>45658.000601851854</v>
      </c>
      <c r="J18" s="69">
        <v>1027397.0006018518</v>
      </c>
      <c r="M18" s="68" t="s">
        <v>132</v>
      </c>
      <c r="N18" s="70">
        <v>11100000</v>
      </c>
    </row>
    <row r="19" spans="1:14" x14ac:dyDescent="0.4">
      <c r="A19" s="68" t="s">
        <v>133</v>
      </c>
      <c r="B19" s="73">
        <v>2405001</v>
      </c>
      <c r="C19" s="68" t="s">
        <v>100</v>
      </c>
      <c r="D19" s="68" t="s">
        <v>134</v>
      </c>
      <c r="E19" s="68" t="s">
        <v>112</v>
      </c>
      <c r="G19" s="68" t="s">
        <v>114</v>
      </c>
      <c r="H19" s="68" t="s">
        <v>103</v>
      </c>
      <c r="I19" s="69">
        <v>45460.000601851854</v>
      </c>
      <c r="M19" s="68" t="s">
        <v>115</v>
      </c>
      <c r="N19" s="70">
        <v>11900000</v>
      </c>
    </row>
    <row r="20" spans="1:14" x14ac:dyDescent="0.4">
      <c r="A20" s="68" t="s">
        <v>116</v>
      </c>
      <c r="B20" s="73" t="s">
        <v>185</v>
      </c>
      <c r="C20" s="68" t="s">
        <v>100</v>
      </c>
      <c r="D20" s="68" t="s">
        <v>135</v>
      </c>
      <c r="E20" s="68" t="s">
        <v>24</v>
      </c>
      <c r="G20" s="68" t="s">
        <v>114</v>
      </c>
      <c r="H20" s="68" t="s">
        <v>103</v>
      </c>
      <c r="I20" s="69">
        <v>45017.000601851854</v>
      </c>
      <c r="M20" s="68" t="s">
        <v>115</v>
      </c>
      <c r="N20" s="70">
        <v>15000000</v>
      </c>
    </row>
    <row r="21" spans="1:14" x14ac:dyDescent="0.4">
      <c r="A21" s="68" t="s">
        <v>116</v>
      </c>
      <c r="B21" s="73">
        <v>1990801</v>
      </c>
      <c r="C21" s="68" t="s">
        <v>100</v>
      </c>
      <c r="D21" s="68" t="s">
        <v>136</v>
      </c>
      <c r="E21" s="68" t="s">
        <v>20</v>
      </c>
      <c r="G21" s="68" t="s">
        <v>114</v>
      </c>
      <c r="H21" s="68" t="s">
        <v>103</v>
      </c>
      <c r="I21" s="69">
        <v>45017.000601851854</v>
      </c>
      <c r="M21" s="68" t="s">
        <v>115</v>
      </c>
      <c r="N21" s="70">
        <v>9000000</v>
      </c>
    </row>
    <row r="22" spans="1:14" x14ac:dyDescent="0.4">
      <c r="A22" s="68" t="s">
        <v>98</v>
      </c>
      <c r="B22" s="73" t="s">
        <v>186</v>
      </c>
      <c r="C22" s="68" t="s">
        <v>100</v>
      </c>
      <c r="D22" s="68" t="s">
        <v>137</v>
      </c>
      <c r="E22" s="68" t="s">
        <v>23</v>
      </c>
      <c r="G22" s="68" t="s">
        <v>114</v>
      </c>
      <c r="H22" s="68" t="s">
        <v>103</v>
      </c>
      <c r="I22" s="69">
        <v>45017.000601851854</v>
      </c>
      <c r="M22" s="68" t="s">
        <v>115</v>
      </c>
      <c r="N22" s="70">
        <v>13400000</v>
      </c>
    </row>
    <row r="23" spans="1:14" x14ac:dyDescent="0.4">
      <c r="A23" s="68" t="s">
        <v>123</v>
      </c>
      <c r="B23" s="73">
        <v>1605037</v>
      </c>
      <c r="C23" s="68" t="s">
        <v>100</v>
      </c>
      <c r="D23" s="68" t="s">
        <v>138</v>
      </c>
      <c r="E23" s="68" t="s">
        <v>21</v>
      </c>
      <c r="G23" s="68" t="s">
        <v>114</v>
      </c>
      <c r="H23" s="68" t="s">
        <v>103</v>
      </c>
      <c r="I23" s="69">
        <v>40941.000601851854</v>
      </c>
      <c r="M23" s="68" t="s">
        <v>115</v>
      </c>
      <c r="N23" s="70">
        <v>10500000</v>
      </c>
    </row>
    <row r="24" spans="1:14" x14ac:dyDescent="0.4">
      <c r="A24" s="68" t="s">
        <v>98</v>
      </c>
      <c r="B24" s="73">
        <v>2505005</v>
      </c>
      <c r="C24" s="68" t="s">
        <v>100</v>
      </c>
      <c r="D24" s="68" t="s">
        <v>139</v>
      </c>
      <c r="E24" s="68" t="s">
        <v>63</v>
      </c>
      <c r="G24" s="68" t="s">
        <v>114</v>
      </c>
      <c r="H24" s="68" t="s">
        <v>103</v>
      </c>
      <c r="I24" s="69">
        <v>45962.000601851854</v>
      </c>
      <c r="M24" s="68" t="s">
        <v>132</v>
      </c>
      <c r="N24" s="70">
        <v>11100000</v>
      </c>
    </row>
    <row r="25" spans="1:14" x14ac:dyDescent="0.4">
      <c r="A25" s="68" t="s">
        <v>98</v>
      </c>
      <c r="B25" s="73">
        <v>2291103</v>
      </c>
      <c r="C25" s="68" t="s">
        <v>100</v>
      </c>
      <c r="D25" s="68" t="s">
        <v>140</v>
      </c>
      <c r="E25" s="68" t="s">
        <v>19</v>
      </c>
      <c r="G25" s="68" t="s">
        <v>114</v>
      </c>
      <c r="H25" s="68" t="s">
        <v>103</v>
      </c>
      <c r="I25" s="69">
        <v>45017.000601851854</v>
      </c>
      <c r="M25" s="68" t="s">
        <v>115</v>
      </c>
      <c r="N25" s="70">
        <v>7500000</v>
      </c>
    </row>
    <row r="26" spans="1:14" x14ac:dyDescent="0.4">
      <c r="A26" s="68" t="s">
        <v>123</v>
      </c>
      <c r="B26" s="73">
        <v>1605053</v>
      </c>
      <c r="C26" s="68" t="s">
        <v>100</v>
      </c>
      <c r="D26" s="68" t="s">
        <v>141</v>
      </c>
      <c r="E26" s="68" t="s">
        <v>112</v>
      </c>
      <c r="G26" s="68" t="s">
        <v>114</v>
      </c>
      <c r="H26" s="68" t="s">
        <v>103</v>
      </c>
      <c r="I26" s="69">
        <v>41743.000601851854</v>
      </c>
      <c r="M26" s="68" t="s">
        <v>115</v>
      </c>
      <c r="N26" s="70">
        <v>11900000</v>
      </c>
    </row>
    <row r="27" spans="1:14" x14ac:dyDescent="0.4">
      <c r="A27" s="68" t="s">
        <v>98</v>
      </c>
      <c r="B27" s="73">
        <v>2291202</v>
      </c>
      <c r="C27" s="68" t="s">
        <v>100</v>
      </c>
      <c r="D27" s="68" t="s">
        <v>142</v>
      </c>
      <c r="E27" s="68" t="s">
        <v>19</v>
      </c>
      <c r="G27" s="68" t="s">
        <v>114</v>
      </c>
      <c r="H27" s="68" t="s">
        <v>103</v>
      </c>
      <c r="I27" s="69">
        <v>45029.000601851854</v>
      </c>
      <c r="M27" s="68" t="s">
        <v>115</v>
      </c>
      <c r="N27" s="70">
        <v>7500000</v>
      </c>
    </row>
    <row r="28" spans="1:14" x14ac:dyDescent="0.4">
      <c r="A28" s="68" t="s">
        <v>116</v>
      </c>
      <c r="B28" s="73">
        <v>2305008</v>
      </c>
      <c r="C28" s="68" t="s">
        <v>100</v>
      </c>
      <c r="D28" s="68" t="s">
        <v>143</v>
      </c>
      <c r="E28" s="68" t="s">
        <v>19</v>
      </c>
      <c r="G28" s="68" t="s">
        <v>114</v>
      </c>
      <c r="H28" s="68" t="s">
        <v>103</v>
      </c>
      <c r="I28" s="69">
        <v>45048.000601851854</v>
      </c>
      <c r="M28" s="68" t="s">
        <v>115</v>
      </c>
      <c r="N28" s="70">
        <v>7500000</v>
      </c>
    </row>
    <row r="29" spans="1:14" x14ac:dyDescent="0.4">
      <c r="A29" s="68" t="s">
        <v>116</v>
      </c>
      <c r="B29" s="73">
        <v>2290115</v>
      </c>
      <c r="C29" s="68" t="s">
        <v>100</v>
      </c>
      <c r="D29" s="68" t="s">
        <v>144</v>
      </c>
      <c r="E29" s="68" t="s">
        <v>19</v>
      </c>
      <c r="G29" s="68" t="s">
        <v>114</v>
      </c>
      <c r="H29" s="68" t="s">
        <v>103</v>
      </c>
      <c r="I29" s="69">
        <v>45017.000601851854</v>
      </c>
      <c r="M29" s="68" t="s">
        <v>115</v>
      </c>
      <c r="N29" s="70">
        <v>7500000</v>
      </c>
    </row>
    <row r="30" spans="1:14" x14ac:dyDescent="0.4">
      <c r="A30" s="68" t="s">
        <v>123</v>
      </c>
      <c r="B30" s="73">
        <v>1605002</v>
      </c>
      <c r="C30" s="68" t="s">
        <v>100</v>
      </c>
      <c r="D30" s="68" t="s">
        <v>145</v>
      </c>
      <c r="E30" s="68" t="s">
        <v>24</v>
      </c>
      <c r="G30" s="68" t="s">
        <v>114</v>
      </c>
      <c r="H30" s="68" t="s">
        <v>103</v>
      </c>
      <c r="I30" s="69">
        <v>42009.000601851854</v>
      </c>
      <c r="M30" s="68" t="s">
        <v>115</v>
      </c>
      <c r="N30" s="70">
        <v>15000000</v>
      </c>
    </row>
    <row r="31" spans="1:14" x14ac:dyDescent="0.4">
      <c r="A31" s="68" t="s">
        <v>116</v>
      </c>
      <c r="B31" s="73">
        <v>9693017</v>
      </c>
      <c r="C31" s="68" t="s">
        <v>100</v>
      </c>
      <c r="D31" s="68" t="s">
        <v>146</v>
      </c>
      <c r="E31" s="68" t="s">
        <v>147</v>
      </c>
      <c r="G31" s="68" t="s">
        <v>114</v>
      </c>
      <c r="H31" s="68" t="s">
        <v>103</v>
      </c>
      <c r="I31" s="69">
        <v>45017.000601851854</v>
      </c>
      <c r="M31" s="68" t="s">
        <v>84</v>
      </c>
      <c r="N31" s="70">
        <v>26000000</v>
      </c>
    </row>
    <row r="32" spans="1:14" x14ac:dyDescent="0.4">
      <c r="A32" s="68" t="s">
        <v>116</v>
      </c>
      <c r="B32" s="73" t="s">
        <v>187</v>
      </c>
      <c r="C32" s="68" t="s">
        <v>100</v>
      </c>
      <c r="D32" s="68" t="s">
        <v>148</v>
      </c>
      <c r="E32" s="68" t="s">
        <v>24</v>
      </c>
      <c r="G32" s="68" t="s">
        <v>114</v>
      </c>
      <c r="H32" s="68" t="s">
        <v>103</v>
      </c>
      <c r="I32" s="69">
        <v>45017.000601851854</v>
      </c>
      <c r="M32" s="68" t="s">
        <v>115</v>
      </c>
      <c r="N32" s="70">
        <v>15000000</v>
      </c>
    </row>
    <row r="33" spans="1:14" x14ac:dyDescent="0.4">
      <c r="A33" s="68" t="s">
        <v>98</v>
      </c>
      <c r="B33" s="73">
        <v>2305003</v>
      </c>
      <c r="C33" s="68" t="s">
        <v>100</v>
      </c>
      <c r="D33" s="68" t="s">
        <v>149</v>
      </c>
      <c r="E33" s="68" t="s">
        <v>20</v>
      </c>
      <c r="G33" s="68" t="s">
        <v>114</v>
      </c>
      <c r="H33" s="68" t="s">
        <v>103</v>
      </c>
      <c r="I33" s="69">
        <v>45089.000601851854</v>
      </c>
      <c r="M33" s="68" t="s">
        <v>115</v>
      </c>
      <c r="N33" s="70">
        <v>9000000</v>
      </c>
    </row>
    <row r="34" spans="1:14" x14ac:dyDescent="0.4">
      <c r="A34" s="68" t="s">
        <v>98</v>
      </c>
      <c r="B34" s="73" t="s">
        <v>188</v>
      </c>
      <c r="C34" s="68" t="s">
        <v>100</v>
      </c>
      <c r="D34" s="68" t="s">
        <v>150</v>
      </c>
      <c r="E34" s="68" t="s">
        <v>112</v>
      </c>
      <c r="G34" s="68" t="s">
        <v>114</v>
      </c>
      <c r="H34" s="68" t="s">
        <v>103</v>
      </c>
      <c r="I34" s="69">
        <v>45017.000601851854</v>
      </c>
      <c r="M34" s="68" t="s">
        <v>115</v>
      </c>
      <c r="N34" s="70">
        <v>11900000</v>
      </c>
    </row>
    <row r="35" spans="1:14" x14ac:dyDescent="0.4">
      <c r="A35" s="68" t="s">
        <v>98</v>
      </c>
      <c r="B35" s="73">
        <v>2505006</v>
      </c>
      <c r="C35" s="68" t="s">
        <v>100</v>
      </c>
      <c r="D35" s="68" t="s">
        <v>151</v>
      </c>
      <c r="E35" s="68" t="s">
        <v>112</v>
      </c>
      <c r="G35" s="68" t="s">
        <v>114</v>
      </c>
      <c r="H35" s="68" t="s">
        <v>103</v>
      </c>
      <c r="I35" s="69">
        <v>45971.000601851854</v>
      </c>
      <c r="M35" s="68" t="s">
        <v>115</v>
      </c>
      <c r="N35" s="70">
        <v>11900000</v>
      </c>
    </row>
    <row r="36" spans="1:14" x14ac:dyDescent="0.4">
      <c r="A36" s="68" t="s">
        <v>123</v>
      </c>
      <c r="B36" s="73">
        <v>1605010</v>
      </c>
      <c r="C36" s="68" t="s">
        <v>100</v>
      </c>
      <c r="D36" s="68" t="s">
        <v>152</v>
      </c>
      <c r="E36" s="68" t="s">
        <v>24</v>
      </c>
      <c r="G36" s="68" t="s">
        <v>114</v>
      </c>
      <c r="H36" s="68" t="s">
        <v>103</v>
      </c>
      <c r="I36" s="69">
        <v>40544.000601851854</v>
      </c>
      <c r="M36" s="68" t="s">
        <v>115</v>
      </c>
      <c r="N36" s="70">
        <v>15000000</v>
      </c>
    </row>
    <row r="37" spans="1:14" x14ac:dyDescent="0.4">
      <c r="A37" s="68" t="s">
        <v>116</v>
      </c>
      <c r="B37" s="73">
        <v>2305009</v>
      </c>
      <c r="C37" s="68" t="s">
        <v>100</v>
      </c>
      <c r="D37" s="68" t="s">
        <v>153</v>
      </c>
      <c r="E37" s="68" t="s">
        <v>19</v>
      </c>
      <c r="G37" s="68" t="s">
        <v>114</v>
      </c>
      <c r="H37" s="68" t="s">
        <v>103</v>
      </c>
      <c r="I37" s="69">
        <v>45048.000601851854</v>
      </c>
      <c r="M37" s="68" t="s">
        <v>115</v>
      </c>
      <c r="N37" s="70">
        <v>7500000</v>
      </c>
    </row>
    <row r="38" spans="1:14" x14ac:dyDescent="0.4">
      <c r="A38" s="68" t="s">
        <v>116</v>
      </c>
      <c r="B38" s="73">
        <v>1791104</v>
      </c>
      <c r="C38" s="68" t="s">
        <v>100</v>
      </c>
      <c r="D38" s="68" t="s">
        <v>154</v>
      </c>
      <c r="E38" s="68" t="s">
        <v>112</v>
      </c>
      <c r="G38" s="68" t="s">
        <v>114</v>
      </c>
      <c r="H38" s="68" t="s">
        <v>103</v>
      </c>
      <c r="I38" s="69">
        <v>45017.000601851854</v>
      </c>
      <c r="M38" s="68" t="s">
        <v>115</v>
      </c>
      <c r="N38" s="70">
        <v>11900000</v>
      </c>
    </row>
    <row r="39" spans="1:14" x14ac:dyDescent="0.4">
      <c r="A39" s="68" t="s">
        <v>98</v>
      </c>
      <c r="B39" s="73">
        <v>1391550</v>
      </c>
      <c r="C39" s="68" t="s">
        <v>100</v>
      </c>
      <c r="D39" s="68" t="s">
        <v>155</v>
      </c>
      <c r="E39" s="68" t="s">
        <v>24</v>
      </c>
      <c r="G39" s="68" t="s">
        <v>114</v>
      </c>
      <c r="H39" s="68" t="s">
        <v>103</v>
      </c>
      <c r="I39" s="69">
        <v>45047.000601851854</v>
      </c>
      <c r="M39" s="68" t="s">
        <v>115</v>
      </c>
      <c r="N39" s="70">
        <v>15000000</v>
      </c>
    </row>
    <row r="40" spans="1:14" x14ac:dyDescent="0.4">
      <c r="A40" s="68" t="s">
        <v>116</v>
      </c>
      <c r="B40" s="73">
        <v>1691114</v>
      </c>
      <c r="C40" s="68" t="s">
        <v>100</v>
      </c>
      <c r="D40" s="68" t="s">
        <v>156</v>
      </c>
      <c r="E40" s="68" t="s">
        <v>112</v>
      </c>
      <c r="G40" s="68" t="s">
        <v>114</v>
      </c>
      <c r="H40" s="68" t="s">
        <v>103</v>
      </c>
      <c r="I40" s="69">
        <v>45017.000601851854</v>
      </c>
      <c r="M40" s="68" t="s">
        <v>115</v>
      </c>
      <c r="N40" s="70">
        <v>11900000</v>
      </c>
    </row>
    <row r="41" spans="1:14" x14ac:dyDescent="0.4">
      <c r="A41" s="68" t="s">
        <v>98</v>
      </c>
      <c r="B41" s="73">
        <v>1990310</v>
      </c>
      <c r="C41" s="68" t="s">
        <v>100</v>
      </c>
      <c r="D41" s="68" t="s">
        <v>157</v>
      </c>
      <c r="E41" s="68" t="s">
        <v>21</v>
      </c>
      <c r="G41" s="68" t="s">
        <v>114</v>
      </c>
      <c r="H41" s="68" t="s">
        <v>103</v>
      </c>
      <c r="I41" s="69">
        <v>45017.000601851854</v>
      </c>
      <c r="M41" s="68" t="s">
        <v>115</v>
      </c>
      <c r="N41" s="70">
        <v>10500000</v>
      </c>
    </row>
    <row r="42" spans="1:14" x14ac:dyDescent="0.4">
      <c r="A42" s="68" t="s">
        <v>98</v>
      </c>
      <c r="B42" s="73">
        <v>2291107</v>
      </c>
      <c r="C42" s="68" t="s">
        <v>100</v>
      </c>
      <c r="D42" s="68" t="s">
        <v>158</v>
      </c>
      <c r="E42" s="68" t="s">
        <v>19</v>
      </c>
      <c r="G42" s="68" t="s">
        <v>114</v>
      </c>
      <c r="H42" s="68" t="s">
        <v>103</v>
      </c>
      <c r="I42" s="69">
        <v>45017.000601851854</v>
      </c>
      <c r="M42" s="68" t="s">
        <v>115</v>
      </c>
      <c r="N42" s="70">
        <v>7500000</v>
      </c>
    </row>
    <row r="43" spans="1:14" x14ac:dyDescent="0.4">
      <c r="A43" s="68" t="s">
        <v>98</v>
      </c>
      <c r="B43" s="73">
        <v>2305005</v>
      </c>
      <c r="C43" s="68" t="s">
        <v>100</v>
      </c>
      <c r="D43" s="68" t="s">
        <v>159</v>
      </c>
      <c r="E43" s="68" t="s">
        <v>19</v>
      </c>
      <c r="G43" s="68" t="s">
        <v>114</v>
      </c>
      <c r="H43" s="68" t="s">
        <v>103</v>
      </c>
      <c r="I43" s="69">
        <v>45048.000601851854</v>
      </c>
      <c r="M43" s="68" t="s">
        <v>115</v>
      </c>
      <c r="N43" s="70">
        <v>7500000</v>
      </c>
    </row>
    <row r="44" spans="1:14" x14ac:dyDescent="0.4">
      <c r="A44" s="68" t="s">
        <v>123</v>
      </c>
      <c r="B44" s="73">
        <v>2305001</v>
      </c>
      <c r="C44" s="68" t="s">
        <v>100</v>
      </c>
      <c r="D44" s="68" t="s">
        <v>160</v>
      </c>
      <c r="E44" s="68" t="s">
        <v>112</v>
      </c>
      <c r="G44" s="68" t="s">
        <v>114</v>
      </c>
      <c r="H44" s="68" t="s">
        <v>103</v>
      </c>
      <c r="I44" s="69">
        <v>45019.000601851854</v>
      </c>
      <c r="M44" s="68" t="s">
        <v>115</v>
      </c>
      <c r="N44" s="70">
        <v>11900000</v>
      </c>
    </row>
    <row r="45" spans="1:14" x14ac:dyDescent="0.4">
      <c r="A45" s="68" t="s">
        <v>98</v>
      </c>
      <c r="B45" s="73">
        <v>2305007</v>
      </c>
      <c r="C45" s="68" t="s">
        <v>100</v>
      </c>
      <c r="D45" s="68" t="s">
        <v>161</v>
      </c>
      <c r="E45" s="68" t="s">
        <v>19</v>
      </c>
      <c r="G45" s="68" t="s">
        <v>114</v>
      </c>
      <c r="H45" s="68" t="s">
        <v>103</v>
      </c>
      <c r="I45" s="69">
        <v>45048.000601851854</v>
      </c>
      <c r="M45" s="68" t="s">
        <v>115</v>
      </c>
      <c r="N45" s="70">
        <v>7500000</v>
      </c>
    </row>
    <row r="46" spans="1:14" x14ac:dyDescent="0.4">
      <c r="A46" s="68" t="s">
        <v>116</v>
      </c>
      <c r="B46" s="73">
        <v>2505007</v>
      </c>
      <c r="C46" s="68" t="s">
        <v>100</v>
      </c>
      <c r="D46" s="68" t="s">
        <v>162</v>
      </c>
      <c r="E46" s="68" t="s">
        <v>25</v>
      </c>
      <c r="G46" s="68" t="s">
        <v>114</v>
      </c>
      <c r="H46" s="68" t="s">
        <v>103</v>
      </c>
      <c r="I46" s="69">
        <v>45999.000601851854</v>
      </c>
      <c r="M46" s="68" t="s">
        <v>115</v>
      </c>
      <c r="N46" s="70">
        <v>16500000</v>
      </c>
    </row>
    <row r="47" spans="1:14" x14ac:dyDescent="0.4">
      <c r="A47" s="68" t="s">
        <v>163</v>
      </c>
      <c r="B47" s="73">
        <v>2415029</v>
      </c>
      <c r="C47" s="68" t="s">
        <v>100</v>
      </c>
      <c r="D47" s="68" t="s">
        <v>164</v>
      </c>
      <c r="E47" s="68" t="s">
        <v>165</v>
      </c>
      <c r="G47" s="68" t="s">
        <v>114</v>
      </c>
      <c r="H47" s="68" t="s">
        <v>103</v>
      </c>
      <c r="I47" s="69">
        <v>46054.000601851854</v>
      </c>
      <c r="N47" s="70">
        <v>31000000</v>
      </c>
    </row>
    <row r="48" spans="1:14" x14ac:dyDescent="0.4">
      <c r="A48" s="68" t="s">
        <v>98</v>
      </c>
      <c r="B48" s="73">
        <v>2290302</v>
      </c>
      <c r="C48" s="68" t="s">
        <v>100</v>
      </c>
      <c r="D48" s="68" t="s">
        <v>166</v>
      </c>
      <c r="E48" s="68" t="s">
        <v>23</v>
      </c>
      <c r="G48" s="68" t="s">
        <v>114</v>
      </c>
      <c r="H48" s="68" t="s">
        <v>103</v>
      </c>
      <c r="I48" s="69">
        <v>45017.000601851854</v>
      </c>
      <c r="M48" s="68" t="s">
        <v>115</v>
      </c>
      <c r="N48" s="70">
        <v>13400000</v>
      </c>
    </row>
    <row r="49" spans="1:14" x14ac:dyDescent="0.4">
      <c r="A49" s="68" t="s">
        <v>116</v>
      </c>
      <c r="B49" s="73">
        <v>9791520</v>
      </c>
      <c r="C49" s="68" t="s">
        <v>100</v>
      </c>
      <c r="D49" s="68" t="s">
        <v>167</v>
      </c>
      <c r="E49" s="68" t="s">
        <v>24</v>
      </c>
      <c r="G49" s="68" t="s">
        <v>114</v>
      </c>
      <c r="H49" s="68" t="s">
        <v>103</v>
      </c>
      <c r="I49" s="69">
        <v>45017.000601851854</v>
      </c>
      <c r="M49" s="68" t="s">
        <v>115</v>
      </c>
      <c r="N49" s="70">
        <v>15000000</v>
      </c>
    </row>
    <row r="50" spans="1:14" x14ac:dyDescent="0.4">
      <c r="A50" s="68" t="s">
        <v>116</v>
      </c>
      <c r="B50" s="73">
        <v>2305010</v>
      </c>
      <c r="C50" s="68" t="s">
        <v>100</v>
      </c>
      <c r="D50" s="68" t="s">
        <v>168</v>
      </c>
      <c r="E50" s="68" t="s">
        <v>19</v>
      </c>
      <c r="G50" s="68" t="s">
        <v>114</v>
      </c>
      <c r="H50" s="68" t="s">
        <v>103</v>
      </c>
      <c r="I50" s="69">
        <v>45048.000601851854</v>
      </c>
      <c r="M50" s="68" t="s">
        <v>115</v>
      </c>
      <c r="N50" s="70">
        <v>7500000</v>
      </c>
    </row>
    <row r="51" spans="1:14" x14ac:dyDescent="0.4">
      <c r="A51" s="68" t="s">
        <v>116</v>
      </c>
      <c r="B51" s="73">
        <v>2305012</v>
      </c>
      <c r="C51" s="68" t="s">
        <v>100</v>
      </c>
      <c r="D51" s="68" t="s">
        <v>169</v>
      </c>
      <c r="E51" s="68" t="s">
        <v>19</v>
      </c>
      <c r="G51" s="68" t="s">
        <v>114</v>
      </c>
      <c r="H51" s="68" t="s">
        <v>103</v>
      </c>
      <c r="I51" s="69">
        <v>45110.000601851854</v>
      </c>
      <c r="M51" s="68" t="s">
        <v>115</v>
      </c>
      <c r="N51" s="70">
        <v>7500000</v>
      </c>
    </row>
    <row r="52" spans="1:14" x14ac:dyDescent="0.4">
      <c r="A52" s="68" t="s">
        <v>98</v>
      </c>
      <c r="B52" s="73">
        <v>2505004</v>
      </c>
      <c r="C52" s="68" t="s">
        <v>100</v>
      </c>
      <c r="D52" s="68" t="s">
        <v>170</v>
      </c>
      <c r="E52" s="68" t="s">
        <v>65</v>
      </c>
      <c r="G52" s="68" t="s">
        <v>114</v>
      </c>
      <c r="H52" s="68" t="s">
        <v>103</v>
      </c>
      <c r="I52" s="69">
        <v>45925.000601851854</v>
      </c>
      <c r="M52" s="68" t="s">
        <v>132</v>
      </c>
      <c r="N52" s="70">
        <v>13400000</v>
      </c>
    </row>
    <row r="53" spans="1:14" x14ac:dyDescent="0.4">
      <c r="A53" s="68" t="s">
        <v>98</v>
      </c>
      <c r="B53" s="73">
        <v>1192465</v>
      </c>
      <c r="C53" s="68" t="s">
        <v>100</v>
      </c>
      <c r="D53" s="68" t="s">
        <v>171</v>
      </c>
      <c r="E53" s="68" t="s">
        <v>112</v>
      </c>
      <c r="G53" s="68" t="s">
        <v>114</v>
      </c>
      <c r="H53" s="68" t="s">
        <v>103</v>
      </c>
      <c r="I53" s="69">
        <v>45017.000601851854</v>
      </c>
      <c r="M53" s="68" t="s">
        <v>115</v>
      </c>
      <c r="N53" s="70">
        <v>11900000</v>
      </c>
    </row>
    <row r="54" spans="1:14" x14ac:dyDescent="0.4">
      <c r="A54" s="68" t="s">
        <v>98</v>
      </c>
      <c r="B54" s="73">
        <v>2290909</v>
      </c>
      <c r="C54" s="68" t="s">
        <v>100</v>
      </c>
      <c r="D54" s="68" t="s">
        <v>172</v>
      </c>
      <c r="E54" s="68" t="s">
        <v>19</v>
      </c>
      <c r="G54" s="68" t="s">
        <v>114</v>
      </c>
      <c r="H54" s="68" t="s">
        <v>103</v>
      </c>
      <c r="I54" s="69">
        <v>45017.000601851854</v>
      </c>
      <c r="M54" s="68" t="s">
        <v>115</v>
      </c>
      <c r="N54" s="70">
        <v>7500000</v>
      </c>
    </row>
    <row r="55" spans="1:14" x14ac:dyDescent="0.4">
      <c r="A55" s="68" t="s">
        <v>116</v>
      </c>
      <c r="B55" s="73">
        <v>9691700</v>
      </c>
      <c r="C55" s="68" t="s">
        <v>100</v>
      </c>
      <c r="D55" s="68" t="s">
        <v>173</v>
      </c>
      <c r="E55" s="68" t="s">
        <v>24</v>
      </c>
      <c r="G55" s="68" t="s">
        <v>114</v>
      </c>
      <c r="H55" s="68" t="s">
        <v>103</v>
      </c>
      <c r="I55" s="69">
        <v>45017.000601851854</v>
      </c>
      <c r="M55" s="68" t="s">
        <v>115</v>
      </c>
      <c r="N55" s="70">
        <v>15000000</v>
      </c>
    </row>
    <row r="56" spans="1:14" x14ac:dyDescent="0.4">
      <c r="A56" s="68" t="s">
        <v>116</v>
      </c>
      <c r="B56" s="73">
        <v>1690313</v>
      </c>
      <c r="C56" s="68" t="s">
        <v>100</v>
      </c>
      <c r="D56" s="68" t="s">
        <v>174</v>
      </c>
      <c r="E56" s="68" t="s">
        <v>23</v>
      </c>
      <c r="G56" s="68" t="s">
        <v>114</v>
      </c>
      <c r="H56" s="68" t="s">
        <v>103</v>
      </c>
      <c r="I56" s="69">
        <v>45017.000601851854</v>
      </c>
      <c r="M56" s="68" t="s">
        <v>115</v>
      </c>
      <c r="N56" s="70">
        <v>13400000</v>
      </c>
    </row>
    <row r="57" spans="1:14" x14ac:dyDescent="0.4">
      <c r="A57" s="68" t="s">
        <v>116</v>
      </c>
      <c r="B57" s="73">
        <v>2290908</v>
      </c>
      <c r="C57" s="68" t="s">
        <v>100</v>
      </c>
      <c r="D57" s="68" t="s">
        <v>175</v>
      </c>
      <c r="E57" s="68" t="s">
        <v>19</v>
      </c>
      <c r="G57" s="68" t="s">
        <v>114</v>
      </c>
      <c r="H57" s="68" t="s">
        <v>103</v>
      </c>
      <c r="I57" s="69">
        <v>45017.000601851854</v>
      </c>
      <c r="M57" s="68" t="s">
        <v>115</v>
      </c>
      <c r="N57" s="70">
        <v>7500000</v>
      </c>
    </row>
    <row r="58" spans="1:14" x14ac:dyDescent="0.4">
      <c r="A58" s="68" t="s">
        <v>98</v>
      </c>
      <c r="B58" s="73">
        <v>2305014</v>
      </c>
      <c r="C58" s="68" t="s">
        <v>100</v>
      </c>
      <c r="D58" s="68" t="s">
        <v>176</v>
      </c>
      <c r="E58" s="68" t="s">
        <v>24</v>
      </c>
      <c r="G58" s="68" t="s">
        <v>114</v>
      </c>
      <c r="H58" s="68" t="s">
        <v>103</v>
      </c>
      <c r="I58" s="69">
        <v>45278.000601851854</v>
      </c>
      <c r="M58" s="68" t="s">
        <v>115</v>
      </c>
      <c r="N58" s="70">
        <v>15000000</v>
      </c>
    </row>
    <row r="59" spans="1:14" x14ac:dyDescent="0.4">
      <c r="A59" s="68" t="s">
        <v>123</v>
      </c>
      <c r="B59" s="73">
        <v>2205006</v>
      </c>
      <c r="C59" s="68" t="s">
        <v>100</v>
      </c>
      <c r="D59" s="68" t="s">
        <v>177</v>
      </c>
      <c r="E59" s="68" t="s">
        <v>19</v>
      </c>
      <c r="G59" s="68" t="s">
        <v>114</v>
      </c>
      <c r="H59" s="68" t="s">
        <v>103</v>
      </c>
      <c r="I59" s="69">
        <v>44805.000601851854</v>
      </c>
      <c r="M59" s="68" t="s">
        <v>115</v>
      </c>
      <c r="N59" s="70">
        <v>7500000</v>
      </c>
    </row>
    <row r="60" spans="1:14" x14ac:dyDescent="0.4">
      <c r="A60" s="68" t="s">
        <v>116</v>
      </c>
      <c r="B60" s="73">
        <v>1791105</v>
      </c>
      <c r="C60" s="68" t="s">
        <v>100</v>
      </c>
      <c r="D60" s="68" t="s">
        <v>178</v>
      </c>
      <c r="E60" s="68" t="s">
        <v>21</v>
      </c>
      <c r="G60" s="68" t="s">
        <v>114</v>
      </c>
      <c r="H60" s="68" t="s">
        <v>103</v>
      </c>
      <c r="I60" s="69">
        <v>45017.000601851854</v>
      </c>
      <c r="M60" s="68" t="s">
        <v>115</v>
      </c>
      <c r="N60" s="70">
        <v>10500000</v>
      </c>
    </row>
    <row r="61" spans="1:14" x14ac:dyDescent="0.4">
      <c r="A61" s="68" t="s">
        <v>98</v>
      </c>
      <c r="B61" s="73" t="s">
        <v>189</v>
      </c>
      <c r="C61" s="68" t="s">
        <v>100</v>
      </c>
      <c r="D61" s="68" t="s">
        <v>179</v>
      </c>
      <c r="E61" s="68" t="s">
        <v>24</v>
      </c>
      <c r="G61" s="68" t="s">
        <v>114</v>
      </c>
      <c r="H61" s="68" t="s">
        <v>103</v>
      </c>
      <c r="I61" s="69">
        <v>45809.000601851854</v>
      </c>
      <c r="M61" s="68" t="s">
        <v>115</v>
      </c>
      <c r="N61" s="70">
        <v>15000000</v>
      </c>
    </row>
    <row r="62" spans="1:14" x14ac:dyDescent="0.4">
      <c r="A62" s="68" t="s">
        <v>98</v>
      </c>
      <c r="B62" s="73">
        <v>2190113</v>
      </c>
      <c r="C62" s="68" t="s">
        <v>100</v>
      </c>
      <c r="D62" s="68" t="s">
        <v>180</v>
      </c>
      <c r="E62" s="68" t="s">
        <v>21</v>
      </c>
      <c r="G62" s="68" t="s">
        <v>114</v>
      </c>
      <c r="H62" s="68" t="s">
        <v>103</v>
      </c>
      <c r="I62" s="69">
        <v>45017.000601851854</v>
      </c>
      <c r="M62" s="68" t="s">
        <v>115</v>
      </c>
      <c r="N62" s="70">
        <v>10500000</v>
      </c>
    </row>
    <row r="63" spans="1:14" x14ac:dyDescent="0.4">
      <c r="A63" s="68" t="s">
        <v>116</v>
      </c>
      <c r="B63" s="73">
        <v>2390402</v>
      </c>
      <c r="C63" s="68" t="s">
        <v>100</v>
      </c>
      <c r="D63" s="68" t="s">
        <v>181</v>
      </c>
      <c r="E63" s="68" t="s">
        <v>20</v>
      </c>
      <c r="G63" s="68" t="s">
        <v>114</v>
      </c>
      <c r="H63" s="68" t="s">
        <v>103</v>
      </c>
      <c r="I63" s="69">
        <v>45020.000601851854</v>
      </c>
      <c r="M63" s="68" t="s">
        <v>115</v>
      </c>
      <c r="N63" s="70">
        <v>9000000</v>
      </c>
    </row>
    <row r="64" spans="1:14" x14ac:dyDescent="0.4">
      <c r="A64" s="68" t="s">
        <v>98</v>
      </c>
      <c r="B64" s="73">
        <v>2390202</v>
      </c>
      <c r="C64" s="68" t="s">
        <v>100</v>
      </c>
      <c r="D64" s="68" t="s">
        <v>182</v>
      </c>
      <c r="E64" s="68" t="s">
        <v>23</v>
      </c>
      <c r="G64" s="68" t="s">
        <v>114</v>
      </c>
      <c r="H64" s="68" t="s">
        <v>103</v>
      </c>
      <c r="I64" s="69">
        <v>45017.000601851854</v>
      </c>
      <c r="M64" s="68" t="s">
        <v>115</v>
      </c>
      <c r="N64" s="70">
        <v>13400000</v>
      </c>
    </row>
  </sheetData>
  <phoneticPr fontId="3" type="noConversion"/>
  <conditionalFormatting sqref="A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E55C-5F13-4ED2-ACED-A4F525DE6689}">
  <sheetPr>
    <tabColor rgb="FFFFFF00"/>
  </sheetPr>
  <dimension ref="B3:N53"/>
  <sheetViews>
    <sheetView showGridLines="0" zoomScaleNormal="100" workbookViewId="0">
      <selection activeCell="H62" sqref="H62"/>
    </sheetView>
  </sheetViews>
  <sheetFormatPr defaultRowHeight="17.399999999999999" x14ac:dyDescent="0.4"/>
  <cols>
    <col min="1" max="1" width="2" customWidth="1"/>
    <col min="2" max="2" width="12.8984375" customWidth="1"/>
    <col min="3" max="3" width="14" customWidth="1"/>
    <col min="4" max="7" width="0" hidden="1" customWidth="1"/>
    <col min="11" max="11" width="0" hidden="1" customWidth="1"/>
    <col min="14" max="14" width="0" hidden="1" customWidth="1"/>
    <col min="15" max="15" width="5.19921875" customWidth="1"/>
  </cols>
  <sheetData>
    <row r="3" spans="2:14" x14ac:dyDescent="0.4">
      <c r="B3" s="1" t="s">
        <v>0</v>
      </c>
      <c r="C3" s="2"/>
      <c r="D3" s="2"/>
      <c r="E3" s="2"/>
    </row>
    <row r="4" spans="2:14" ht="17.399999999999999" customHeight="1" x14ac:dyDescent="0.4">
      <c r="B4" s="81" t="s">
        <v>1</v>
      </c>
      <c r="C4" s="81" t="s">
        <v>2</v>
      </c>
      <c r="D4" s="81" t="s">
        <v>3</v>
      </c>
      <c r="E4" s="81"/>
      <c r="F4" s="82" t="s">
        <v>4</v>
      </c>
      <c r="G4" s="83" t="s">
        <v>5</v>
      </c>
      <c r="H4" s="84" t="s">
        <v>6</v>
      </c>
      <c r="I4" s="74" t="s">
        <v>7</v>
      </c>
      <c r="J4" s="74"/>
      <c r="K4" s="74"/>
      <c r="L4" s="75" t="s">
        <v>8</v>
      </c>
      <c r="M4" s="75"/>
      <c r="N4" s="75"/>
    </row>
    <row r="5" spans="2:14" ht="17.399999999999999" customHeight="1" x14ac:dyDescent="0.4">
      <c r="B5" s="81"/>
      <c r="C5" s="81"/>
      <c r="D5" s="3" t="s">
        <v>9</v>
      </c>
      <c r="E5" s="3" t="s">
        <v>10</v>
      </c>
      <c r="F5" s="81"/>
      <c r="G5" s="83"/>
      <c r="H5" s="84"/>
      <c r="I5" s="4" t="s">
        <v>11</v>
      </c>
      <c r="J5" s="4" t="s">
        <v>12</v>
      </c>
      <c r="K5" s="4" t="s">
        <v>13</v>
      </c>
      <c r="L5" s="4" t="s">
        <v>11</v>
      </c>
      <c r="M5" s="4" t="s">
        <v>12</v>
      </c>
      <c r="N5" s="4" t="s">
        <v>14</v>
      </c>
    </row>
    <row r="6" spans="2:14" ht="17.399999999999999" customHeight="1" x14ac:dyDescent="0.4">
      <c r="B6" s="76" t="s">
        <v>15</v>
      </c>
      <c r="C6" s="5" t="s">
        <v>16</v>
      </c>
      <c r="D6" s="6">
        <v>24000000</v>
      </c>
      <c r="E6" s="6">
        <v>26999999</v>
      </c>
      <c r="F6" s="7">
        <v>25499999.5</v>
      </c>
      <c r="G6" s="7">
        <v>2600000</v>
      </c>
      <c r="H6" s="8">
        <v>4400000</v>
      </c>
      <c r="I6" s="7">
        <v>6300000</v>
      </c>
      <c r="J6" s="7">
        <v>4900000</v>
      </c>
      <c r="K6" s="7">
        <v>5700000</v>
      </c>
      <c r="L6" s="7">
        <v>9000000</v>
      </c>
      <c r="M6" s="7">
        <v>7000000</v>
      </c>
      <c r="N6" s="7">
        <v>8100000</v>
      </c>
    </row>
    <row r="7" spans="2:14" ht="17.399999999999999" customHeight="1" x14ac:dyDescent="0.4">
      <c r="B7" s="77"/>
      <c r="C7" s="9" t="s">
        <v>17</v>
      </c>
      <c r="D7" s="10">
        <v>27000000</v>
      </c>
      <c r="E7" s="10">
        <v>33999999.998999998</v>
      </c>
      <c r="F7" s="11">
        <v>30499999.999499999</v>
      </c>
      <c r="G7" s="11">
        <v>3080000</v>
      </c>
      <c r="H7" s="12">
        <v>5200000</v>
      </c>
      <c r="I7" s="11">
        <v>7400000</v>
      </c>
      <c r="J7" s="11">
        <v>5800000</v>
      </c>
      <c r="K7" s="11">
        <v>6700000</v>
      </c>
      <c r="L7" s="11">
        <v>10600000</v>
      </c>
      <c r="M7" s="11">
        <v>8300000</v>
      </c>
      <c r="N7" s="11">
        <v>9600000</v>
      </c>
    </row>
    <row r="8" spans="2:14" ht="17.399999999999999" customHeight="1" x14ac:dyDescent="0.4">
      <c r="B8" s="77"/>
      <c r="C8" s="9" t="s">
        <v>18</v>
      </c>
      <c r="D8" s="10">
        <v>34000000</v>
      </c>
      <c r="E8" s="10">
        <v>40999999.998999998</v>
      </c>
      <c r="F8" s="11">
        <v>37499999.999499999</v>
      </c>
      <c r="G8" s="11">
        <v>3640000</v>
      </c>
      <c r="H8" s="12">
        <v>6200000</v>
      </c>
      <c r="I8" s="11">
        <v>8900000</v>
      </c>
      <c r="J8" s="11">
        <v>6900000</v>
      </c>
      <c r="K8" s="11">
        <v>8000000</v>
      </c>
      <c r="L8" s="11">
        <v>12700000</v>
      </c>
      <c r="M8" s="11">
        <v>9900000</v>
      </c>
      <c r="N8" s="11">
        <v>11400000</v>
      </c>
    </row>
    <row r="9" spans="2:14" ht="17.399999999999999" customHeight="1" x14ac:dyDescent="0.4">
      <c r="B9" s="77"/>
      <c r="C9" s="9" t="s">
        <v>19</v>
      </c>
      <c r="D9" s="10">
        <v>41000000</v>
      </c>
      <c r="E9" s="10">
        <v>48999999.998999998</v>
      </c>
      <c r="F9" s="11">
        <v>44999999.999499999</v>
      </c>
      <c r="G9" s="11">
        <v>4470000</v>
      </c>
      <c r="H9" s="12">
        <v>7600000</v>
      </c>
      <c r="I9" s="11">
        <v>10900000</v>
      </c>
      <c r="J9" s="11">
        <v>8400000</v>
      </c>
      <c r="K9" s="11">
        <v>9800000</v>
      </c>
      <c r="L9" s="11">
        <v>15600000</v>
      </c>
      <c r="M9" s="11">
        <v>12000000</v>
      </c>
      <c r="N9" s="11">
        <v>14000000</v>
      </c>
    </row>
    <row r="10" spans="2:14" ht="17.399999999999999" customHeight="1" x14ac:dyDescent="0.4">
      <c r="B10" s="77"/>
      <c r="C10" s="9" t="s">
        <v>20</v>
      </c>
      <c r="D10" s="10">
        <v>49000000</v>
      </c>
      <c r="E10" s="10">
        <v>57999999.998999998</v>
      </c>
      <c r="F10" s="11">
        <v>53499999.999499999</v>
      </c>
      <c r="G10" s="11">
        <v>5270000</v>
      </c>
      <c r="H10" s="12">
        <v>9000000</v>
      </c>
      <c r="I10" s="11">
        <v>12900000</v>
      </c>
      <c r="J10" s="11">
        <v>10000000</v>
      </c>
      <c r="K10" s="11">
        <v>11600000</v>
      </c>
      <c r="L10" s="11">
        <v>18400000</v>
      </c>
      <c r="M10" s="11">
        <v>14300000</v>
      </c>
      <c r="N10" s="11">
        <v>16600000</v>
      </c>
    </row>
    <row r="11" spans="2:14" ht="17.399999999999999" customHeight="1" x14ac:dyDescent="0.4">
      <c r="B11" s="77"/>
      <c r="C11" s="9" t="s">
        <v>21</v>
      </c>
      <c r="D11" s="10">
        <v>58000000</v>
      </c>
      <c r="E11" s="10">
        <v>66999999.998999998</v>
      </c>
      <c r="F11" s="11">
        <v>62499999.999499999</v>
      </c>
      <c r="G11" s="11">
        <v>6260000</v>
      </c>
      <c r="H11" s="12">
        <v>10600000</v>
      </c>
      <c r="I11" s="11">
        <v>15100000</v>
      </c>
      <c r="J11" s="11">
        <v>11800000</v>
      </c>
      <c r="K11" s="11">
        <v>13600000</v>
      </c>
      <c r="L11" s="11">
        <v>21600000</v>
      </c>
      <c r="M11" s="11">
        <v>16900000</v>
      </c>
      <c r="N11" s="11">
        <v>19400000</v>
      </c>
    </row>
    <row r="12" spans="2:14" ht="17.399999999999999" customHeight="1" x14ac:dyDescent="0.4">
      <c r="B12" s="77"/>
      <c r="C12" s="9" t="s">
        <v>22</v>
      </c>
      <c r="D12" s="10">
        <v>67000000</v>
      </c>
      <c r="E12" s="10">
        <v>75999999.998999998</v>
      </c>
      <c r="F12" s="11">
        <v>71499999.999500006</v>
      </c>
      <c r="G12" s="11">
        <v>7110000</v>
      </c>
      <c r="H12" s="12">
        <v>12100000</v>
      </c>
      <c r="I12" s="11">
        <v>17300000</v>
      </c>
      <c r="J12" s="11">
        <v>13400000</v>
      </c>
      <c r="K12" s="11">
        <v>15600000</v>
      </c>
      <c r="L12" s="11">
        <v>24700000</v>
      </c>
      <c r="M12" s="11">
        <v>19100000</v>
      </c>
      <c r="N12" s="11">
        <v>22300000</v>
      </c>
    </row>
    <row r="13" spans="2:14" ht="17.399999999999999" customHeight="1" x14ac:dyDescent="0.4">
      <c r="B13" s="77"/>
      <c r="C13" s="9" t="s">
        <v>23</v>
      </c>
      <c r="D13" s="10">
        <v>76000000</v>
      </c>
      <c r="E13" s="10">
        <v>84999999.998999998</v>
      </c>
      <c r="F13" s="11">
        <v>80499999.999500006</v>
      </c>
      <c r="G13" s="11">
        <v>7880000</v>
      </c>
      <c r="H13" s="12">
        <v>13400000</v>
      </c>
      <c r="I13" s="11">
        <v>19100000</v>
      </c>
      <c r="J13" s="11">
        <v>14900000</v>
      </c>
      <c r="K13" s="11">
        <v>17200000</v>
      </c>
      <c r="L13" s="11">
        <v>27300000</v>
      </c>
      <c r="M13" s="11">
        <v>21300000</v>
      </c>
      <c r="N13" s="11">
        <v>24600000</v>
      </c>
    </row>
    <row r="14" spans="2:14" ht="17.399999999999999" customHeight="1" x14ac:dyDescent="0.4">
      <c r="B14" s="77"/>
      <c r="C14" s="9" t="s">
        <v>24</v>
      </c>
      <c r="D14" s="10">
        <v>85000000</v>
      </c>
      <c r="E14" s="10">
        <v>94999999.998999998</v>
      </c>
      <c r="F14" s="11">
        <v>89999999.999500006</v>
      </c>
      <c r="G14" s="11">
        <v>8800000</v>
      </c>
      <c r="H14" s="12">
        <v>15000000</v>
      </c>
      <c r="I14" s="11">
        <v>21400000</v>
      </c>
      <c r="J14" s="11">
        <v>16700000</v>
      </c>
      <c r="K14" s="11">
        <v>19300000</v>
      </c>
      <c r="L14" s="11">
        <v>30600000</v>
      </c>
      <c r="M14" s="11">
        <v>23900000</v>
      </c>
      <c r="N14" s="11">
        <v>27600000</v>
      </c>
    </row>
    <row r="15" spans="2:14" ht="17.399999999999999" customHeight="1" x14ac:dyDescent="0.4">
      <c r="B15" s="77"/>
      <c r="C15" s="9" t="s">
        <v>25</v>
      </c>
      <c r="D15" s="10">
        <v>95000000</v>
      </c>
      <c r="E15" s="10">
        <v>104999999</v>
      </c>
      <c r="F15" s="11">
        <v>99999999.5</v>
      </c>
      <c r="G15" s="11">
        <v>10000000</v>
      </c>
      <c r="H15" s="12">
        <v>17000000</v>
      </c>
      <c r="I15" s="11">
        <v>24300000</v>
      </c>
      <c r="J15" s="11">
        <v>18900000</v>
      </c>
      <c r="K15" s="11">
        <v>21900000</v>
      </c>
      <c r="L15" s="11">
        <v>34700000</v>
      </c>
      <c r="M15" s="11">
        <v>27000000</v>
      </c>
      <c r="N15" s="11">
        <v>31300000</v>
      </c>
    </row>
    <row r="16" spans="2:14" ht="17.399999999999999" customHeight="1" x14ac:dyDescent="0.4">
      <c r="B16" s="77"/>
      <c r="C16" s="9" t="s">
        <v>26</v>
      </c>
      <c r="D16" s="10">
        <v>105000000</v>
      </c>
      <c r="E16" s="10">
        <v>114999999</v>
      </c>
      <c r="F16" s="11">
        <v>109999999.5</v>
      </c>
      <c r="G16" s="11">
        <v>10700000</v>
      </c>
      <c r="H16" s="12">
        <v>18200000</v>
      </c>
      <c r="I16" s="11">
        <v>26000000</v>
      </c>
      <c r="J16" s="11">
        <v>20200000</v>
      </c>
      <c r="K16" s="11">
        <v>23400000</v>
      </c>
      <c r="L16" s="11">
        <v>37100000</v>
      </c>
      <c r="M16" s="11">
        <v>28900000</v>
      </c>
      <c r="N16" s="11">
        <v>33400000</v>
      </c>
    </row>
    <row r="17" spans="2:14" ht="17.399999999999999" customHeight="1" x14ac:dyDescent="0.4">
      <c r="B17" s="77"/>
      <c r="C17" s="9" t="s">
        <v>27</v>
      </c>
      <c r="D17" s="10">
        <v>115000000</v>
      </c>
      <c r="E17" s="10">
        <v>124999999</v>
      </c>
      <c r="F17" s="11">
        <v>119999999.5</v>
      </c>
      <c r="G17" s="11">
        <v>11700000</v>
      </c>
      <c r="H17" s="12">
        <v>19900000</v>
      </c>
      <c r="I17" s="11">
        <v>28400000</v>
      </c>
      <c r="J17" s="11">
        <v>22100000</v>
      </c>
      <c r="K17" s="11">
        <v>25600000</v>
      </c>
      <c r="L17" s="11">
        <v>40600000</v>
      </c>
      <c r="M17" s="11">
        <v>31600000</v>
      </c>
      <c r="N17" s="11">
        <v>36600000</v>
      </c>
    </row>
    <row r="18" spans="2:14" ht="17.399999999999999" customHeight="1" x14ac:dyDescent="0.4">
      <c r="B18" s="77"/>
      <c r="C18" s="9" t="s">
        <v>28</v>
      </c>
      <c r="D18" s="10">
        <v>125000000</v>
      </c>
      <c r="E18" s="10">
        <v>134999999</v>
      </c>
      <c r="F18" s="11">
        <v>129999999.5</v>
      </c>
      <c r="G18" s="11">
        <v>12700000</v>
      </c>
      <c r="H18" s="12">
        <v>21600000</v>
      </c>
      <c r="I18" s="11">
        <v>30900000</v>
      </c>
      <c r="J18" s="11">
        <v>24000000</v>
      </c>
      <c r="K18" s="11">
        <v>27800000</v>
      </c>
      <c r="L18" s="11">
        <v>44100000</v>
      </c>
      <c r="M18" s="11">
        <v>34300000</v>
      </c>
      <c r="N18" s="11">
        <v>39700000</v>
      </c>
    </row>
    <row r="19" spans="2:14" ht="17.399999999999999" customHeight="1" x14ac:dyDescent="0.4">
      <c r="B19" s="77"/>
      <c r="C19" s="9" t="s">
        <v>29</v>
      </c>
      <c r="D19" s="10">
        <v>135000000</v>
      </c>
      <c r="E19" s="10">
        <v>149999999</v>
      </c>
      <c r="F19" s="11">
        <v>142499999.5</v>
      </c>
      <c r="G19" s="11">
        <v>13600000</v>
      </c>
      <c r="H19" s="12">
        <v>23100000</v>
      </c>
      <c r="I19" s="11">
        <v>33000000</v>
      </c>
      <c r="J19" s="11">
        <v>25700000</v>
      </c>
      <c r="K19" s="11">
        <v>29700000</v>
      </c>
      <c r="L19" s="11">
        <v>47100000</v>
      </c>
      <c r="M19" s="11">
        <v>36700000</v>
      </c>
      <c r="N19" s="11">
        <v>42400000</v>
      </c>
    </row>
    <row r="20" spans="2:14" ht="17.399999999999999" customHeight="1" x14ac:dyDescent="0.4">
      <c r="B20" s="78"/>
      <c r="C20" s="13" t="s">
        <v>30</v>
      </c>
      <c r="D20" s="14">
        <v>150000000</v>
      </c>
      <c r="E20" s="14">
        <v>164999999</v>
      </c>
      <c r="F20" s="15">
        <v>157499999.5</v>
      </c>
      <c r="G20" s="15">
        <v>15100000</v>
      </c>
      <c r="H20" s="16">
        <v>25700000</v>
      </c>
      <c r="I20" s="15">
        <v>36700000</v>
      </c>
      <c r="J20" s="15">
        <v>28600000</v>
      </c>
      <c r="K20" s="15">
        <v>33000000</v>
      </c>
      <c r="L20" s="15">
        <v>52400000</v>
      </c>
      <c r="M20" s="15">
        <v>40900000</v>
      </c>
      <c r="N20" s="15">
        <v>47100000</v>
      </c>
    </row>
    <row r="21" spans="2:14" ht="17.399999999999999" customHeight="1" x14ac:dyDescent="0.4">
      <c r="B21" s="76" t="s">
        <v>31</v>
      </c>
      <c r="C21" s="5" t="s">
        <v>32</v>
      </c>
      <c r="D21" s="17" t="s">
        <v>33</v>
      </c>
      <c r="E21" s="17" t="s">
        <v>33</v>
      </c>
      <c r="F21" s="18">
        <v>0</v>
      </c>
      <c r="G21" s="7">
        <v>15000000</v>
      </c>
      <c r="H21" s="8">
        <v>26000000</v>
      </c>
      <c r="I21" s="7">
        <v>37100000</v>
      </c>
      <c r="J21" s="7">
        <v>28900000</v>
      </c>
      <c r="K21" s="7">
        <v>33400000</v>
      </c>
      <c r="L21" s="7">
        <v>53000000</v>
      </c>
      <c r="M21" s="7">
        <v>41300000</v>
      </c>
      <c r="N21" s="7">
        <v>47700000</v>
      </c>
    </row>
    <row r="22" spans="2:14" ht="17.399999999999999" customHeight="1" x14ac:dyDescent="0.4">
      <c r="B22" s="77"/>
      <c r="C22" s="9" t="s">
        <v>34</v>
      </c>
      <c r="D22" s="19" t="s">
        <v>35</v>
      </c>
      <c r="E22" s="19" t="s">
        <v>35</v>
      </c>
      <c r="F22" s="20">
        <v>0</v>
      </c>
      <c r="G22" s="11">
        <v>18000000</v>
      </c>
      <c r="H22" s="12">
        <v>31000000</v>
      </c>
      <c r="I22" s="11">
        <v>44300000</v>
      </c>
      <c r="J22" s="11">
        <v>34400000</v>
      </c>
      <c r="K22" s="11">
        <v>39900000</v>
      </c>
      <c r="L22" s="11">
        <v>63300000</v>
      </c>
      <c r="M22" s="11">
        <v>49100000</v>
      </c>
      <c r="N22" s="11">
        <v>57000000</v>
      </c>
    </row>
    <row r="23" spans="2:14" ht="17.399999999999999" customHeight="1" x14ac:dyDescent="0.4">
      <c r="B23" s="78"/>
      <c r="C23" s="13" t="s">
        <v>36</v>
      </c>
      <c r="D23" s="21" t="s">
        <v>37</v>
      </c>
      <c r="E23" s="21" t="s">
        <v>37</v>
      </c>
      <c r="F23" s="22">
        <v>0</v>
      </c>
      <c r="G23" s="15">
        <v>21000000</v>
      </c>
      <c r="H23" s="16">
        <v>36000000</v>
      </c>
      <c r="I23" s="15">
        <v>51400000</v>
      </c>
      <c r="J23" s="15">
        <v>40000000</v>
      </c>
      <c r="K23" s="15">
        <v>46300000</v>
      </c>
      <c r="L23" s="15">
        <v>73400000</v>
      </c>
      <c r="M23" s="15">
        <v>57100000</v>
      </c>
      <c r="N23" s="15">
        <v>66100000</v>
      </c>
    </row>
    <row r="24" spans="2:14" ht="17.399999999999999" customHeight="1" x14ac:dyDescent="0.4">
      <c r="B24" s="76" t="s">
        <v>38</v>
      </c>
      <c r="C24" s="9" t="s">
        <v>39</v>
      </c>
      <c r="D24" s="10">
        <v>24000000</v>
      </c>
      <c r="E24" s="10">
        <v>29999999</v>
      </c>
      <c r="F24" s="11">
        <v>26999999.5</v>
      </c>
      <c r="G24" s="23">
        <v>2250000</v>
      </c>
      <c r="H24" s="12">
        <v>2900000</v>
      </c>
      <c r="I24" s="11">
        <v>2900000</v>
      </c>
      <c r="J24" s="11">
        <v>0</v>
      </c>
      <c r="K24" s="11">
        <v>0</v>
      </c>
      <c r="L24" s="11">
        <v>4100000</v>
      </c>
      <c r="M24" s="11">
        <v>0</v>
      </c>
      <c r="N24" s="11">
        <v>0</v>
      </c>
    </row>
    <row r="25" spans="2:14" ht="17.399999999999999" customHeight="1" x14ac:dyDescent="0.4">
      <c r="B25" s="77"/>
      <c r="C25" s="9" t="s">
        <v>40</v>
      </c>
      <c r="D25" s="10">
        <v>30000000</v>
      </c>
      <c r="E25" s="10">
        <v>34999999</v>
      </c>
      <c r="F25" s="11">
        <v>32499999.5</v>
      </c>
      <c r="G25" s="23">
        <v>2708000</v>
      </c>
      <c r="H25" s="12">
        <v>3500000</v>
      </c>
      <c r="I25" s="11">
        <v>3500000</v>
      </c>
      <c r="J25" s="11">
        <v>0</v>
      </c>
      <c r="K25" s="11">
        <v>0</v>
      </c>
      <c r="L25" s="11">
        <v>5000000</v>
      </c>
      <c r="M25" s="11">
        <v>0</v>
      </c>
      <c r="N25" s="11">
        <v>0</v>
      </c>
    </row>
    <row r="26" spans="2:14" ht="17.399999999999999" customHeight="1" x14ac:dyDescent="0.4">
      <c r="B26" s="77"/>
      <c r="C26" s="9" t="s">
        <v>41</v>
      </c>
      <c r="D26" s="10">
        <v>35000000</v>
      </c>
      <c r="E26" s="10">
        <v>39999999</v>
      </c>
      <c r="F26" s="11">
        <v>37499999.5</v>
      </c>
      <c r="G26" s="23">
        <v>3125000</v>
      </c>
      <c r="H26" s="12">
        <v>4100000</v>
      </c>
      <c r="I26" s="11">
        <v>4100000</v>
      </c>
      <c r="J26" s="11">
        <v>0</v>
      </c>
      <c r="K26" s="11">
        <v>0</v>
      </c>
      <c r="L26" s="11">
        <v>5900000</v>
      </c>
      <c r="M26" s="11">
        <v>0</v>
      </c>
      <c r="N26" s="11">
        <v>0</v>
      </c>
    </row>
    <row r="27" spans="2:14" ht="17.399999999999999" customHeight="1" x14ac:dyDescent="0.4">
      <c r="B27" s="77"/>
      <c r="C27" s="9" t="s">
        <v>42</v>
      </c>
      <c r="D27" s="10">
        <v>40000000</v>
      </c>
      <c r="E27" s="10">
        <v>49999999</v>
      </c>
      <c r="F27" s="11">
        <v>44999999.5</v>
      </c>
      <c r="G27" s="23">
        <v>3750000</v>
      </c>
      <c r="H27" s="12">
        <v>4900000</v>
      </c>
      <c r="I27" s="11">
        <v>4900000</v>
      </c>
      <c r="J27" s="11">
        <v>0</v>
      </c>
      <c r="K27" s="11">
        <v>0</v>
      </c>
      <c r="L27" s="11">
        <v>7000000</v>
      </c>
      <c r="M27" s="11">
        <v>0</v>
      </c>
      <c r="N27" s="11">
        <v>0</v>
      </c>
    </row>
    <row r="28" spans="2:14" ht="17.399999999999999" customHeight="1" x14ac:dyDescent="0.4">
      <c r="B28" s="77"/>
      <c r="C28" s="9" t="s">
        <v>43</v>
      </c>
      <c r="D28" s="10">
        <v>50000000</v>
      </c>
      <c r="E28" s="10">
        <v>59999999</v>
      </c>
      <c r="F28" s="11">
        <v>54999999.5</v>
      </c>
      <c r="G28" s="23">
        <v>4583000</v>
      </c>
      <c r="H28" s="12">
        <v>6000000</v>
      </c>
      <c r="I28" s="11">
        <v>6000000</v>
      </c>
      <c r="J28" s="11">
        <v>0</v>
      </c>
      <c r="K28" s="11">
        <v>0</v>
      </c>
      <c r="L28" s="11">
        <v>8600000</v>
      </c>
      <c r="M28" s="11">
        <v>0</v>
      </c>
      <c r="N28" s="11">
        <v>0</v>
      </c>
    </row>
    <row r="29" spans="2:14" ht="17.399999999999999" customHeight="1" x14ac:dyDescent="0.4">
      <c r="B29" s="77"/>
      <c r="C29" s="9" t="s">
        <v>44</v>
      </c>
      <c r="D29" s="10">
        <v>60000000</v>
      </c>
      <c r="E29" s="10">
        <v>69999999</v>
      </c>
      <c r="F29" s="11">
        <v>64999999.5</v>
      </c>
      <c r="G29" s="23">
        <v>5417000</v>
      </c>
      <c r="H29" s="12">
        <v>7000000</v>
      </c>
      <c r="I29" s="11">
        <v>7000000</v>
      </c>
      <c r="J29" s="11">
        <v>0</v>
      </c>
      <c r="K29" s="11">
        <v>0</v>
      </c>
      <c r="L29" s="11">
        <v>10000000</v>
      </c>
      <c r="M29" s="11">
        <v>0</v>
      </c>
      <c r="N29" s="11">
        <v>0</v>
      </c>
    </row>
    <row r="30" spans="2:14" ht="17.399999999999999" customHeight="1" x14ac:dyDescent="0.4">
      <c r="B30" s="78"/>
      <c r="C30" s="9" t="s">
        <v>45</v>
      </c>
      <c r="D30" s="10">
        <v>70000000</v>
      </c>
      <c r="E30" s="10">
        <v>79999999</v>
      </c>
      <c r="F30" s="11">
        <v>74999999.5</v>
      </c>
      <c r="G30" s="23">
        <v>6250000</v>
      </c>
      <c r="H30" s="12">
        <v>8100000</v>
      </c>
      <c r="I30" s="11">
        <v>8100000</v>
      </c>
      <c r="J30" s="11">
        <v>0</v>
      </c>
      <c r="K30" s="11">
        <v>0</v>
      </c>
      <c r="L30" s="11">
        <v>11600000</v>
      </c>
      <c r="M30" s="11">
        <v>0</v>
      </c>
      <c r="N30" s="11">
        <v>0</v>
      </c>
    </row>
    <row r="31" spans="2:14" ht="17.399999999999999" customHeight="1" x14ac:dyDescent="0.4">
      <c r="B31" s="79"/>
      <c r="C31" s="9" t="s">
        <v>46</v>
      </c>
      <c r="D31" s="10">
        <v>80000000</v>
      </c>
      <c r="E31" s="10">
        <v>89999999</v>
      </c>
      <c r="F31" s="11">
        <v>84999999.5</v>
      </c>
      <c r="G31" s="23">
        <v>7083000</v>
      </c>
      <c r="H31" s="12">
        <v>9200000</v>
      </c>
      <c r="I31" s="11">
        <v>9200000</v>
      </c>
      <c r="J31" s="11">
        <v>0</v>
      </c>
      <c r="K31" s="11">
        <v>0</v>
      </c>
      <c r="L31" s="11">
        <v>13100000</v>
      </c>
      <c r="M31" s="11">
        <v>0</v>
      </c>
      <c r="N31" s="11">
        <v>0</v>
      </c>
    </row>
    <row r="32" spans="2:14" ht="17.399999999999999" customHeight="1" x14ac:dyDescent="0.4">
      <c r="B32" s="80"/>
      <c r="C32" s="9" t="s">
        <v>47</v>
      </c>
      <c r="D32" s="10">
        <v>90000000</v>
      </c>
      <c r="E32" s="10">
        <v>99999999</v>
      </c>
      <c r="F32" s="11">
        <v>94999999.5</v>
      </c>
      <c r="G32" s="23">
        <v>7917000</v>
      </c>
      <c r="H32" s="12">
        <v>10300000</v>
      </c>
      <c r="I32" s="11">
        <v>10300000</v>
      </c>
      <c r="J32" s="11">
        <v>0</v>
      </c>
      <c r="K32" s="11">
        <v>0</v>
      </c>
      <c r="L32" s="11">
        <v>14700000</v>
      </c>
      <c r="M32" s="11">
        <v>0</v>
      </c>
      <c r="N32" s="11">
        <v>0</v>
      </c>
    </row>
    <row r="33" spans="2:14" ht="17.399999999999999" customHeight="1" x14ac:dyDescent="0.4">
      <c r="B33" s="77"/>
      <c r="C33" s="9" t="s">
        <v>48</v>
      </c>
      <c r="D33" s="10">
        <v>100000000</v>
      </c>
      <c r="E33" s="10">
        <v>109999999</v>
      </c>
      <c r="F33" s="11">
        <v>104999999.5</v>
      </c>
      <c r="G33" s="23">
        <v>8750000</v>
      </c>
      <c r="H33" s="12">
        <v>11400000</v>
      </c>
      <c r="I33" s="11">
        <v>11400000</v>
      </c>
      <c r="J33" s="11">
        <v>0</v>
      </c>
      <c r="K33" s="11">
        <v>0</v>
      </c>
      <c r="L33" s="11">
        <v>16300000</v>
      </c>
      <c r="M33" s="11">
        <v>0</v>
      </c>
      <c r="N33" s="11">
        <v>0</v>
      </c>
    </row>
    <row r="34" spans="2:14" ht="17.399999999999999" customHeight="1" x14ac:dyDescent="0.4">
      <c r="B34" s="77"/>
      <c r="C34" s="9" t="s">
        <v>49</v>
      </c>
      <c r="D34" s="10">
        <v>110000000</v>
      </c>
      <c r="E34" s="10">
        <v>119999999</v>
      </c>
      <c r="F34" s="11">
        <v>114999999.5</v>
      </c>
      <c r="G34" s="23">
        <v>9583000</v>
      </c>
      <c r="H34" s="12">
        <v>12500000</v>
      </c>
      <c r="I34" s="11">
        <v>12500000</v>
      </c>
      <c r="J34" s="11">
        <v>0</v>
      </c>
      <c r="K34" s="11">
        <v>0</v>
      </c>
      <c r="L34" s="11">
        <v>17900000</v>
      </c>
      <c r="M34" s="11">
        <v>0</v>
      </c>
      <c r="N34" s="11">
        <v>0</v>
      </c>
    </row>
    <row r="35" spans="2:14" ht="17.399999999999999" customHeight="1" x14ac:dyDescent="0.4">
      <c r="B35" s="77"/>
      <c r="C35" s="9" t="s">
        <v>50</v>
      </c>
      <c r="D35" s="10">
        <v>120000000</v>
      </c>
      <c r="E35" s="10">
        <v>129999999</v>
      </c>
      <c r="F35" s="11">
        <v>124999999.5</v>
      </c>
      <c r="G35" s="23">
        <v>10417000</v>
      </c>
      <c r="H35" s="12">
        <v>13500000</v>
      </c>
      <c r="I35" s="11">
        <v>13500000</v>
      </c>
      <c r="J35" s="11">
        <v>0</v>
      </c>
      <c r="K35" s="11">
        <v>0</v>
      </c>
      <c r="L35" s="11">
        <v>19300000</v>
      </c>
      <c r="M35" s="11">
        <v>0</v>
      </c>
      <c r="N35" s="11">
        <v>0</v>
      </c>
    </row>
    <row r="36" spans="2:14" ht="17.399999999999999" customHeight="1" x14ac:dyDescent="0.4">
      <c r="B36" s="77"/>
      <c r="C36" s="9" t="s">
        <v>51</v>
      </c>
      <c r="D36" s="10">
        <v>130000000</v>
      </c>
      <c r="E36" s="10">
        <v>149999999</v>
      </c>
      <c r="F36" s="11">
        <v>139999999.5</v>
      </c>
      <c r="G36" s="23">
        <v>11667000</v>
      </c>
      <c r="H36" s="12">
        <v>15200000</v>
      </c>
      <c r="I36" s="11">
        <v>15200000</v>
      </c>
      <c r="J36" s="11">
        <v>0</v>
      </c>
      <c r="K36" s="11">
        <v>0</v>
      </c>
      <c r="L36" s="11">
        <v>21700000</v>
      </c>
      <c r="M36" s="11">
        <v>0</v>
      </c>
      <c r="N36" s="11">
        <v>0</v>
      </c>
    </row>
    <row r="37" spans="2:14" ht="17.399999999999999" customHeight="1" x14ac:dyDescent="0.4">
      <c r="B37" s="77"/>
      <c r="C37" s="9" t="s">
        <v>52</v>
      </c>
      <c r="D37" s="10">
        <v>150000000</v>
      </c>
      <c r="E37" s="10">
        <v>169999999</v>
      </c>
      <c r="F37" s="11">
        <v>159999999.5</v>
      </c>
      <c r="G37" s="23">
        <v>13333000</v>
      </c>
      <c r="H37" s="12">
        <v>17300000</v>
      </c>
      <c r="I37" s="11">
        <v>17300000</v>
      </c>
      <c r="J37" s="11">
        <v>0</v>
      </c>
      <c r="K37" s="11">
        <v>0</v>
      </c>
      <c r="L37" s="11">
        <v>24700000</v>
      </c>
      <c r="M37" s="11">
        <v>0</v>
      </c>
      <c r="N37" s="11">
        <v>0</v>
      </c>
    </row>
    <row r="38" spans="2:14" ht="17.399999999999999" customHeight="1" x14ac:dyDescent="0.4">
      <c r="B38" s="78"/>
      <c r="C38" s="9" t="s">
        <v>53</v>
      </c>
      <c r="D38" s="10">
        <v>170000000</v>
      </c>
      <c r="E38" s="10">
        <v>199999999</v>
      </c>
      <c r="F38" s="11">
        <v>184999999.5</v>
      </c>
      <c r="G38" s="23">
        <v>15417000</v>
      </c>
      <c r="H38" s="12">
        <v>20000000</v>
      </c>
      <c r="I38" s="11">
        <v>20000000</v>
      </c>
      <c r="J38" s="11">
        <v>0</v>
      </c>
      <c r="K38" s="11">
        <v>0</v>
      </c>
      <c r="L38" s="11">
        <v>28600000</v>
      </c>
      <c r="M38" s="11">
        <v>0</v>
      </c>
      <c r="N38" s="11">
        <v>0</v>
      </c>
    </row>
    <row r="39" spans="2:14" ht="17.399999999999999" customHeight="1" x14ac:dyDescent="0.4">
      <c r="B39" s="76" t="s">
        <v>54</v>
      </c>
      <c r="C39" s="5" t="s">
        <v>55</v>
      </c>
      <c r="D39" s="6">
        <v>24000000</v>
      </c>
      <c r="E39" s="6">
        <v>29999999</v>
      </c>
      <c r="F39" s="7">
        <v>26999999.5</v>
      </c>
      <c r="G39" s="24">
        <v>2250000</v>
      </c>
      <c r="H39" s="8">
        <v>3200000</v>
      </c>
      <c r="I39" s="7">
        <v>3200000</v>
      </c>
      <c r="J39" s="7">
        <v>0</v>
      </c>
      <c r="K39" s="7">
        <v>0</v>
      </c>
      <c r="L39" s="7">
        <v>4600000</v>
      </c>
      <c r="M39" s="7">
        <v>0</v>
      </c>
      <c r="N39" s="7">
        <v>0</v>
      </c>
    </row>
    <row r="40" spans="2:14" ht="17.399999999999999" customHeight="1" x14ac:dyDescent="0.4">
      <c r="B40" s="77"/>
      <c r="C40" s="9" t="s">
        <v>56</v>
      </c>
      <c r="D40" s="10">
        <v>30000000</v>
      </c>
      <c r="E40" s="10">
        <v>34999999</v>
      </c>
      <c r="F40" s="11">
        <v>32499999.5</v>
      </c>
      <c r="G40" s="23">
        <v>2708000</v>
      </c>
      <c r="H40" s="12">
        <v>3800000</v>
      </c>
      <c r="I40" s="11">
        <v>3800000</v>
      </c>
      <c r="J40" s="11">
        <v>0</v>
      </c>
      <c r="K40" s="11">
        <v>0</v>
      </c>
      <c r="L40" s="11">
        <v>5400000</v>
      </c>
      <c r="M40" s="11">
        <v>0</v>
      </c>
      <c r="N40" s="11">
        <v>0</v>
      </c>
    </row>
    <row r="41" spans="2:14" ht="17.399999999999999" customHeight="1" x14ac:dyDescent="0.4">
      <c r="B41" s="77"/>
      <c r="C41" s="9" t="s">
        <v>57</v>
      </c>
      <c r="D41" s="10">
        <v>35000000</v>
      </c>
      <c r="E41" s="10">
        <v>39999999</v>
      </c>
      <c r="F41" s="11">
        <v>37499999.5</v>
      </c>
      <c r="G41" s="23">
        <v>3125000</v>
      </c>
      <c r="H41" s="12">
        <v>4400000</v>
      </c>
      <c r="I41" s="11">
        <v>4400000</v>
      </c>
      <c r="J41" s="11">
        <v>0</v>
      </c>
      <c r="K41" s="11">
        <v>0</v>
      </c>
      <c r="L41" s="11">
        <v>6300000</v>
      </c>
      <c r="M41" s="11">
        <v>0</v>
      </c>
      <c r="N41" s="11">
        <v>0</v>
      </c>
    </row>
    <row r="42" spans="2:14" ht="17.399999999999999" customHeight="1" x14ac:dyDescent="0.4">
      <c r="B42" s="77"/>
      <c r="C42" s="9" t="s">
        <v>58</v>
      </c>
      <c r="D42" s="10">
        <v>40000000</v>
      </c>
      <c r="E42" s="10">
        <v>49999999</v>
      </c>
      <c r="F42" s="11">
        <v>44999999.5</v>
      </c>
      <c r="G42" s="23">
        <v>3750000</v>
      </c>
      <c r="H42" s="12">
        <v>5300000</v>
      </c>
      <c r="I42" s="11">
        <v>5300000</v>
      </c>
      <c r="J42" s="11">
        <v>0</v>
      </c>
      <c r="K42" s="11">
        <v>0</v>
      </c>
      <c r="L42" s="11">
        <v>7600000</v>
      </c>
      <c r="M42" s="11">
        <v>0</v>
      </c>
      <c r="N42" s="11">
        <v>0</v>
      </c>
    </row>
    <row r="43" spans="2:14" ht="17.399999999999999" customHeight="1" x14ac:dyDescent="0.4">
      <c r="B43" s="77"/>
      <c r="C43" s="9" t="s">
        <v>59</v>
      </c>
      <c r="D43" s="10">
        <v>50000000</v>
      </c>
      <c r="E43" s="10">
        <v>59999999</v>
      </c>
      <c r="F43" s="11">
        <v>54999999.5</v>
      </c>
      <c r="G43" s="23">
        <v>4583000</v>
      </c>
      <c r="H43" s="12">
        <v>6400000</v>
      </c>
      <c r="I43" s="11">
        <v>6400000</v>
      </c>
      <c r="J43" s="11">
        <v>0</v>
      </c>
      <c r="K43" s="11">
        <v>0</v>
      </c>
      <c r="L43" s="11">
        <v>9100000</v>
      </c>
      <c r="M43" s="11">
        <v>0</v>
      </c>
      <c r="N43" s="11">
        <v>0</v>
      </c>
    </row>
    <row r="44" spans="2:14" ht="17.399999999999999" customHeight="1" x14ac:dyDescent="0.4">
      <c r="B44" s="77"/>
      <c r="C44" s="9" t="s">
        <v>60</v>
      </c>
      <c r="D44" s="10">
        <v>60000000</v>
      </c>
      <c r="E44" s="10">
        <v>69999999</v>
      </c>
      <c r="F44" s="11">
        <v>64999999.5</v>
      </c>
      <c r="G44" s="23">
        <v>5417000</v>
      </c>
      <c r="H44" s="12">
        <v>7600000</v>
      </c>
      <c r="I44" s="11">
        <v>7600000</v>
      </c>
      <c r="J44" s="11">
        <v>0</v>
      </c>
      <c r="K44" s="11">
        <v>0</v>
      </c>
      <c r="L44" s="11">
        <v>10900000</v>
      </c>
      <c r="M44" s="11">
        <v>0</v>
      </c>
      <c r="N44" s="11">
        <v>0</v>
      </c>
    </row>
    <row r="45" spans="2:14" ht="17.399999999999999" customHeight="1" x14ac:dyDescent="0.4">
      <c r="B45" s="77"/>
      <c r="C45" s="9" t="s">
        <v>61</v>
      </c>
      <c r="D45" s="10">
        <v>70000000</v>
      </c>
      <c r="E45" s="10">
        <v>79999999</v>
      </c>
      <c r="F45" s="11">
        <v>74999999.5</v>
      </c>
      <c r="G45" s="23">
        <v>6250000</v>
      </c>
      <c r="H45" s="12">
        <v>8800000</v>
      </c>
      <c r="I45" s="11">
        <v>8800000</v>
      </c>
      <c r="J45" s="11">
        <v>0</v>
      </c>
      <c r="K45" s="11">
        <v>0</v>
      </c>
      <c r="L45" s="11">
        <v>12600000</v>
      </c>
      <c r="M45" s="11">
        <v>0</v>
      </c>
      <c r="N45" s="11">
        <v>0</v>
      </c>
    </row>
    <row r="46" spans="2:14" ht="17.399999999999999" customHeight="1" x14ac:dyDescent="0.4">
      <c r="B46" s="77"/>
      <c r="C46" s="9" t="s">
        <v>62</v>
      </c>
      <c r="D46" s="10">
        <v>80000000</v>
      </c>
      <c r="E46" s="10">
        <v>89999999</v>
      </c>
      <c r="F46" s="11">
        <v>84999999.5</v>
      </c>
      <c r="G46" s="23">
        <v>7083000</v>
      </c>
      <c r="H46" s="12">
        <v>9900000</v>
      </c>
      <c r="I46" s="11">
        <v>9900000</v>
      </c>
      <c r="J46" s="11">
        <v>0</v>
      </c>
      <c r="K46" s="11">
        <v>0</v>
      </c>
      <c r="L46" s="11">
        <v>14100000</v>
      </c>
      <c r="M46" s="11">
        <v>0</v>
      </c>
      <c r="N46" s="11">
        <v>0</v>
      </c>
    </row>
    <row r="47" spans="2:14" ht="17.399999999999999" customHeight="1" x14ac:dyDescent="0.4">
      <c r="B47" s="77"/>
      <c r="C47" s="9" t="s">
        <v>63</v>
      </c>
      <c r="D47" s="10">
        <v>90000000</v>
      </c>
      <c r="E47" s="10">
        <v>99999999</v>
      </c>
      <c r="F47" s="11">
        <v>94999999.5</v>
      </c>
      <c r="G47" s="23">
        <v>7917000</v>
      </c>
      <c r="H47" s="12">
        <v>11100000</v>
      </c>
      <c r="I47" s="11">
        <v>11100000</v>
      </c>
      <c r="J47" s="11">
        <v>0</v>
      </c>
      <c r="K47" s="11">
        <v>0</v>
      </c>
      <c r="L47" s="11">
        <v>15900000</v>
      </c>
      <c r="M47" s="11">
        <v>0</v>
      </c>
      <c r="N47" s="11">
        <v>0</v>
      </c>
    </row>
    <row r="48" spans="2:14" ht="17.399999999999999" customHeight="1" x14ac:dyDescent="0.4">
      <c r="B48" s="77"/>
      <c r="C48" s="9" t="s">
        <v>64</v>
      </c>
      <c r="D48" s="10">
        <v>100000000</v>
      </c>
      <c r="E48" s="10">
        <v>109999999</v>
      </c>
      <c r="F48" s="11">
        <v>104999999.5</v>
      </c>
      <c r="G48" s="23">
        <v>8750000</v>
      </c>
      <c r="H48" s="12">
        <v>12300000</v>
      </c>
      <c r="I48" s="11">
        <v>12300000</v>
      </c>
      <c r="J48" s="11">
        <v>0</v>
      </c>
      <c r="K48" s="11">
        <v>0</v>
      </c>
      <c r="L48" s="11">
        <v>17600000</v>
      </c>
      <c r="M48" s="11">
        <v>0</v>
      </c>
      <c r="N48" s="11">
        <v>0</v>
      </c>
    </row>
    <row r="49" spans="2:14" ht="17.399999999999999" customHeight="1" x14ac:dyDescent="0.4">
      <c r="B49" s="77"/>
      <c r="C49" s="9" t="s">
        <v>65</v>
      </c>
      <c r="D49" s="10">
        <v>110000000</v>
      </c>
      <c r="E49" s="10">
        <v>119999999</v>
      </c>
      <c r="F49" s="11">
        <v>114999999.5</v>
      </c>
      <c r="G49" s="23">
        <v>9583000</v>
      </c>
      <c r="H49" s="12">
        <v>13400000</v>
      </c>
      <c r="I49" s="11">
        <v>13400000</v>
      </c>
      <c r="J49" s="11">
        <v>0</v>
      </c>
      <c r="K49" s="11">
        <v>0</v>
      </c>
      <c r="L49" s="11">
        <v>19100000</v>
      </c>
      <c r="M49" s="11">
        <v>0</v>
      </c>
      <c r="N49" s="11">
        <v>0</v>
      </c>
    </row>
    <row r="50" spans="2:14" ht="17.399999999999999" customHeight="1" x14ac:dyDescent="0.4">
      <c r="B50" s="77"/>
      <c r="C50" s="9" t="s">
        <v>66</v>
      </c>
      <c r="D50" s="10">
        <v>120000000</v>
      </c>
      <c r="E50" s="10">
        <v>129999999</v>
      </c>
      <c r="F50" s="11">
        <v>124999999.5</v>
      </c>
      <c r="G50" s="23">
        <v>10417000</v>
      </c>
      <c r="H50" s="12">
        <v>14600000</v>
      </c>
      <c r="I50" s="11">
        <v>14600000</v>
      </c>
      <c r="J50" s="11">
        <v>0</v>
      </c>
      <c r="K50" s="11">
        <v>0</v>
      </c>
      <c r="L50" s="11">
        <v>20900000</v>
      </c>
      <c r="M50" s="11">
        <v>0</v>
      </c>
      <c r="N50" s="11">
        <v>0</v>
      </c>
    </row>
    <row r="51" spans="2:14" ht="17.399999999999999" customHeight="1" x14ac:dyDescent="0.4">
      <c r="B51" s="77"/>
      <c r="C51" s="9" t="s">
        <v>67</v>
      </c>
      <c r="D51" s="10">
        <v>130000000</v>
      </c>
      <c r="E51" s="10">
        <v>149999999</v>
      </c>
      <c r="F51" s="11">
        <v>139999999.5</v>
      </c>
      <c r="G51" s="23">
        <v>11667000</v>
      </c>
      <c r="H51" s="12">
        <v>16300000</v>
      </c>
      <c r="I51" s="11">
        <v>16300000</v>
      </c>
      <c r="J51" s="11">
        <v>0</v>
      </c>
      <c r="K51" s="11">
        <v>0</v>
      </c>
      <c r="L51" s="11">
        <v>23300000</v>
      </c>
      <c r="M51" s="11">
        <v>0</v>
      </c>
      <c r="N51" s="11">
        <v>0</v>
      </c>
    </row>
    <row r="52" spans="2:14" ht="17.399999999999999" customHeight="1" x14ac:dyDescent="0.4">
      <c r="B52" s="77"/>
      <c r="C52" s="9" t="s">
        <v>68</v>
      </c>
      <c r="D52" s="10">
        <v>150000000</v>
      </c>
      <c r="E52" s="10">
        <v>169999999</v>
      </c>
      <c r="F52" s="11">
        <v>159999999.5</v>
      </c>
      <c r="G52" s="23">
        <v>13333000</v>
      </c>
      <c r="H52" s="12">
        <v>18700000</v>
      </c>
      <c r="I52" s="11">
        <v>18700000</v>
      </c>
      <c r="J52" s="11">
        <v>0</v>
      </c>
      <c r="K52" s="11">
        <v>0</v>
      </c>
      <c r="L52" s="11">
        <v>26700000</v>
      </c>
      <c r="M52" s="11">
        <v>0</v>
      </c>
      <c r="N52" s="11">
        <v>0</v>
      </c>
    </row>
    <row r="53" spans="2:14" ht="17.399999999999999" customHeight="1" x14ac:dyDescent="0.4">
      <c r="B53" s="78"/>
      <c r="C53" s="13" t="s">
        <v>69</v>
      </c>
      <c r="D53" s="14">
        <v>170000000</v>
      </c>
      <c r="E53" s="14">
        <v>199999999</v>
      </c>
      <c r="F53" s="15">
        <v>184999999.5</v>
      </c>
      <c r="G53" s="25">
        <v>15417000</v>
      </c>
      <c r="H53" s="16">
        <v>21600000</v>
      </c>
      <c r="I53" s="15">
        <v>21600000</v>
      </c>
      <c r="J53" s="15">
        <v>0</v>
      </c>
      <c r="K53" s="15">
        <v>0</v>
      </c>
      <c r="L53" s="15">
        <v>30900000</v>
      </c>
      <c r="M53" s="15">
        <v>0</v>
      </c>
      <c r="N53" s="15">
        <v>0</v>
      </c>
    </row>
  </sheetData>
  <mergeCells count="12">
    <mergeCell ref="B39:B53"/>
    <mergeCell ref="B4:B5"/>
    <mergeCell ref="C4:C5"/>
    <mergeCell ref="D4:E4"/>
    <mergeCell ref="F4:F5"/>
    <mergeCell ref="I4:K4"/>
    <mergeCell ref="L4:N4"/>
    <mergeCell ref="B6:B20"/>
    <mergeCell ref="B21:B23"/>
    <mergeCell ref="B24:B38"/>
    <mergeCell ref="G4:G5"/>
    <mergeCell ref="H4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3558-6628-4C69-9689-47D2A8AF67F2}">
  <sheetPr>
    <tabColor rgb="FF92D050"/>
  </sheetPr>
  <dimension ref="B2:U58"/>
  <sheetViews>
    <sheetView showGridLines="0" workbookViewId="0">
      <selection activeCell="W18" sqref="W18"/>
    </sheetView>
  </sheetViews>
  <sheetFormatPr defaultRowHeight="17.399999999999999" x14ac:dyDescent="0.4"/>
  <cols>
    <col min="1" max="1" width="1.69921875" customWidth="1"/>
    <col min="2" max="2" width="10.8984375" customWidth="1"/>
    <col min="3" max="3" width="14.8984375" customWidth="1"/>
    <col min="4" max="4" width="0" hidden="1" customWidth="1"/>
    <col min="5" max="5" width="9.5" hidden="1" customWidth="1"/>
    <col min="6" max="6" width="9.19921875" hidden="1" customWidth="1"/>
    <col min="7" max="7" width="0" hidden="1" customWidth="1"/>
    <col min="8" max="8" width="9.8984375" hidden="1" customWidth="1"/>
    <col min="9" max="10" width="9" hidden="1" customWidth="1"/>
    <col min="11" max="11" width="0" hidden="1" customWidth="1"/>
    <col min="12" max="12" width="17.09765625" hidden="1" customWidth="1"/>
    <col min="13" max="13" width="11.5" customWidth="1"/>
    <col min="14" max="15" width="10.59765625" customWidth="1"/>
    <col min="16" max="16" width="10.59765625" hidden="1" customWidth="1"/>
    <col min="17" max="18" width="10.59765625" customWidth="1"/>
    <col min="19" max="19" width="10.59765625" hidden="1" customWidth="1"/>
    <col min="20" max="24" width="17.09765625" customWidth="1"/>
  </cols>
  <sheetData>
    <row r="2" spans="2:21" x14ac:dyDescent="0.4">
      <c r="G2" s="26"/>
      <c r="H2" s="104" t="s">
        <v>70</v>
      </c>
      <c r="I2" s="104"/>
      <c r="J2" s="104"/>
      <c r="K2" s="26"/>
      <c r="L2" s="26"/>
      <c r="M2" s="26"/>
    </row>
    <row r="3" spans="2:21" ht="17.399999999999999" customHeight="1" thickBot="1" x14ac:dyDescent="0.45">
      <c r="B3" s="27"/>
      <c r="C3" s="27"/>
      <c r="D3" s="28"/>
      <c r="E3" s="28"/>
      <c r="F3" s="28"/>
      <c r="H3" s="29">
        <v>1.07</v>
      </c>
      <c r="I3" s="30">
        <v>5</v>
      </c>
      <c r="J3" s="29">
        <v>1.07</v>
      </c>
      <c r="M3" s="31">
        <v>1.7</v>
      </c>
      <c r="N3" s="32">
        <v>0.7</v>
      </c>
      <c r="O3" s="32">
        <v>0.9</v>
      </c>
      <c r="P3" s="33">
        <v>-0.1</v>
      </c>
      <c r="Q3" s="32">
        <v>0.7</v>
      </c>
      <c r="R3" s="32">
        <v>0.7</v>
      </c>
      <c r="S3" s="32">
        <v>0.7</v>
      </c>
    </row>
    <row r="4" spans="2:21" s="34" customFormat="1" ht="17.399999999999999" customHeight="1" x14ac:dyDescent="0.4">
      <c r="B4" s="105" t="s">
        <v>71</v>
      </c>
      <c r="C4" s="96" t="s">
        <v>2</v>
      </c>
      <c r="D4" s="96" t="s">
        <v>3</v>
      </c>
      <c r="E4" s="96"/>
      <c r="F4" s="107" t="s">
        <v>72</v>
      </c>
      <c r="G4" s="107" t="s">
        <v>4</v>
      </c>
      <c r="H4" s="107" t="s">
        <v>73</v>
      </c>
      <c r="I4" s="107" t="s">
        <v>74</v>
      </c>
      <c r="J4" s="107" t="s">
        <v>75</v>
      </c>
      <c r="K4" s="94" t="s">
        <v>76</v>
      </c>
      <c r="L4" s="96" t="s">
        <v>2</v>
      </c>
      <c r="M4" s="98" t="s">
        <v>6</v>
      </c>
      <c r="N4" s="100" t="s">
        <v>7</v>
      </c>
      <c r="O4" s="100"/>
      <c r="P4" s="101"/>
      <c r="Q4" s="102" t="s">
        <v>8</v>
      </c>
      <c r="R4" s="102"/>
      <c r="S4" s="103"/>
    </row>
    <row r="5" spans="2:21" s="34" customFormat="1" ht="17.399999999999999" customHeight="1" x14ac:dyDescent="0.4">
      <c r="B5" s="106"/>
      <c r="C5" s="97"/>
      <c r="D5" s="35" t="s">
        <v>9</v>
      </c>
      <c r="E5" s="35" t="s">
        <v>10</v>
      </c>
      <c r="F5" s="97"/>
      <c r="G5" s="97"/>
      <c r="H5" s="97"/>
      <c r="I5" s="97"/>
      <c r="J5" s="97"/>
      <c r="K5" s="95"/>
      <c r="L5" s="97"/>
      <c r="M5" s="99"/>
      <c r="N5" s="36" t="s">
        <v>11</v>
      </c>
      <c r="O5" s="36" t="s">
        <v>12</v>
      </c>
      <c r="P5" s="37" t="s">
        <v>13</v>
      </c>
      <c r="Q5" s="36" t="s">
        <v>11</v>
      </c>
      <c r="R5" s="36" t="s">
        <v>12</v>
      </c>
      <c r="S5" s="38" t="s">
        <v>14</v>
      </c>
    </row>
    <row r="6" spans="2:21" ht="17.399999999999999" customHeight="1" x14ac:dyDescent="0.4">
      <c r="B6" s="85" t="s">
        <v>77</v>
      </c>
      <c r="C6" s="39" t="s">
        <v>16</v>
      </c>
      <c r="D6" s="40">
        <v>24000000</v>
      </c>
      <c r="E6" s="40">
        <f>D6+F6-1</f>
        <v>26999999</v>
      </c>
      <c r="F6" s="40">
        <v>3000000</v>
      </c>
      <c r="G6" s="41">
        <f>(D6+E6)/2</f>
        <v>25499999.5</v>
      </c>
      <c r="H6" s="42">
        <f>$G6/12*$H$3</f>
        <v>2273749.9554166668</v>
      </c>
      <c r="I6" s="42">
        <f t="shared" ref="I6:I25" si="0">$H6/209*8*$I$3/12</f>
        <v>36263.954631844768</v>
      </c>
      <c r="J6" s="42">
        <f t="shared" ref="J6:J25" si="1">$H6/12*$J$3</f>
        <v>202742.70435798613</v>
      </c>
      <c r="K6" s="43">
        <f t="shared" ref="K6:K25" si="2">ROUND(SUM(H6:J6),-5)</f>
        <v>2500000</v>
      </c>
      <c r="L6" s="39" t="s">
        <v>16</v>
      </c>
      <c r="M6" s="44">
        <f>ROUND(K6*$M$3,-5)</f>
        <v>4300000</v>
      </c>
      <c r="N6" s="45">
        <f>ROUND($M6/N$3,-5)</f>
        <v>6100000</v>
      </c>
      <c r="O6" s="45">
        <f>ROUND($M6/O$3,-5)</f>
        <v>4800000</v>
      </c>
      <c r="P6" s="46">
        <f>ROUND($N6-($N6*P$3),-5)</f>
        <v>6700000</v>
      </c>
      <c r="Q6" s="45">
        <f>ROUND($N6/Q$3,-5)</f>
        <v>8700000</v>
      </c>
      <c r="R6" s="45">
        <f>ROUND($O6/R$3,-5)</f>
        <v>6900000</v>
      </c>
      <c r="S6" s="47">
        <f>ROUND($P6/S$3,-5)</f>
        <v>9600000</v>
      </c>
      <c r="U6" s="48"/>
    </row>
    <row r="7" spans="2:21" ht="17.399999999999999" customHeight="1" x14ac:dyDescent="0.4">
      <c r="B7" s="86"/>
      <c r="C7" s="39" t="s">
        <v>17</v>
      </c>
      <c r="D7" s="40">
        <f>E6</f>
        <v>26999999</v>
      </c>
      <c r="E7" s="40">
        <f t="shared" ref="E7:E25" si="3">D7+F7</f>
        <v>33999998.998999998</v>
      </c>
      <c r="F7" s="40">
        <v>6999999.998999998</v>
      </c>
      <c r="G7" s="41">
        <f t="shared" ref="G7:G25" si="4">(D7+E7)/2</f>
        <v>30499998.999499999</v>
      </c>
      <c r="H7" s="42">
        <f t="shared" ref="H7:H25" si="5">$G7/12*$H$3</f>
        <v>2719583.2441220833</v>
      </c>
      <c r="I7" s="42">
        <f t="shared" si="0"/>
        <v>43374.533399076288</v>
      </c>
      <c r="J7" s="42">
        <f t="shared" si="1"/>
        <v>242496.17260088577</v>
      </c>
      <c r="K7" s="43">
        <f t="shared" si="2"/>
        <v>3000000</v>
      </c>
      <c r="L7" s="39" t="s">
        <v>17</v>
      </c>
      <c r="M7" s="44">
        <f t="shared" ref="M7:M25" si="6">ROUND(K7*$M$3,-5)</f>
        <v>5100000</v>
      </c>
      <c r="N7" s="45">
        <f t="shared" ref="N7:O28" si="7">ROUND($M7/N$3,-5)</f>
        <v>7300000</v>
      </c>
      <c r="O7" s="45">
        <f t="shared" si="7"/>
        <v>5700000</v>
      </c>
      <c r="P7" s="46">
        <f t="shared" ref="P7:P28" si="8">ROUND(N7-(N7*P$3),-5)</f>
        <v>8000000</v>
      </c>
      <c r="Q7" s="45">
        <f t="shared" ref="Q7:Q28" si="9">ROUND($N7/Q$3,-5)</f>
        <v>10400000</v>
      </c>
      <c r="R7" s="45">
        <f t="shared" ref="R7:R28" si="10">ROUND($O7/R$3,-5)</f>
        <v>8100000</v>
      </c>
      <c r="S7" s="47">
        <f t="shared" ref="S7:S28" si="11">ROUND($P7/S$3,-5)</f>
        <v>11400000</v>
      </c>
    </row>
    <row r="8" spans="2:21" ht="17.399999999999999" customHeight="1" x14ac:dyDescent="0.4">
      <c r="B8" s="86"/>
      <c r="C8" s="39" t="s">
        <v>18</v>
      </c>
      <c r="D8" s="40">
        <f t="shared" ref="D8:D25" si="12">E7</f>
        <v>33999998.998999998</v>
      </c>
      <c r="E8" s="40">
        <f t="shared" si="3"/>
        <v>40999998.997999996</v>
      </c>
      <c r="F8" s="40">
        <v>6999999.998999998</v>
      </c>
      <c r="G8" s="41">
        <f t="shared" si="4"/>
        <v>37499998.998499997</v>
      </c>
      <c r="H8" s="42">
        <f t="shared" si="5"/>
        <v>3343749.9106995831</v>
      </c>
      <c r="I8" s="42">
        <f t="shared" si="0"/>
        <v>53329.344668254918</v>
      </c>
      <c r="J8" s="42">
        <f t="shared" si="1"/>
        <v>298151.03370404622</v>
      </c>
      <c r="K8" s="43">
        <f t="shared" si="2"/>
        <v>3700000</v>
      </c>
      <c r="L8" s="39" t="s">
        <v>18</v>
      </c>
      <c r="M8" s="44">
        <f t="shared" si="6"/>
        <v>6300000</v>
      </c>
      <c r="N8" s="45">
        <f t="shared" si="7"/>
        <v>9000000</v>
      </c>
      <c r="O8" s="45">
        <f t="shared" si="7"/>
        <v>7000000</v>
      </c>
      <c r="P8" s="46">
        <f t="shared" si="8"/>
        <v>9900000</v>
      </c>
      <c r="Q8" s="45">
        <f t="shared" si="9"/>
        <v>12900000</v>
      </c>
      <c r="R8" s="45">
        <f t="shared" si="10"/>
        <v>10000000</v>
      </c>
      <c r="S8" s="47">
        <f t="shared" si="11"/>
        <v>14100000</v>
      </c>
    </row>
    <row r="9" spans="2:21" ht="17.399999999999999" customHeight="1" x14ac:dyDescent="0.4">
      <c r="B9" s="86"/>
      <c r="C9" s="39" t="s">
        <v>19</v>
      </c>
      <c r="D9" s="40">
        <f t="shared" si="12"/>
        <v>40999998.997999996</v>
      </c>
      <c r="E9" s="40">
        <f t="shared" si="3"/>
        <v>48999998.996999994</v>
      </c>
      <c r="F9" s="40">
        <v>7999999.998999998</v>
      </c>
      <c r="G9" s="41">
        <f t="shared" si="4"/>
        <v>44999998.997499995</v>
      </c>
      <c r="H9" s="42">
        <f t="shared" si="5"/>
        <v>4012499.9106104164</v>
      </c>
      <c r="I9" s="42">
        <f t="shared" si="0"/>
        <v>63995.213885333593</v>
      </c>
      <c r="J9" s="42">
        <f t="shared" si="1"/>
        <v>357781.24202942877</v>
      </c>
      <c r="K9" s="43">
        <f t="shared" si="2"/>
        <v>4400000</v>
      </c>
      <c r="L9" s="39" t="s">
        <v>19</v>
      </c>
      <c r="M9" s="44">
        <f t="shared" si="6"/>
        <v>7500000</v>
      </c>
      <c r="N9" s="45">
        <f t="shared" si="7"/>
        <v>10700000</v>
      </c>
      <c r="O9" s="45">
        <f t="shared" si="7"/>
        <v>8300000</v>
      </c>
      <c r="P9" s="46">
        <f t="shared" si="8"/>
        <v>11800000</v>
      </c>
      <c r="Q9" s="45">
        <f t="shared" si="9"/>
        <v>15300000</v>
      </c>
      <c r="R9" s="45">
        <f t="shared" si="10"/>
        <v>11900000</v>
      </c>
      <c r="S9" s="47">
        <f t="shared" si="11"/>
        <v>16900000</v>
      </c>
    </row>
    <row r="10" spans="2:21" ht="17.399999999999999" customHeight="1" x14ac:dyDescent="0.4">
      <c r="B10" s="86"/>
      <c r="C10" s="39" t="s">
        <v>20</v>
      </c>
      <c r="D10" s="40">
        <f t="shared" si="12"/>
        <v>48999998.996999994</v>
      </c>
      <c r="E10" s="40">
        <f t="shared" si="3"/>
        <v>57999998.995999992</v>
      </c>
      <c r="F10" s="49">
        <v>8999999.998999998</v>
      </c>
      <c r="G10" s="41">
        <f t="shared" si="4"/>
        <v>53499998.996499993</v>
      </c>
      <c r="H10" s="42">
        <f t="shared" si="5"/>
        <v>4770416.5771879163</v>
      </c>
      <c r="I10" s="42">
        <f t="shared" si="0"/>
        <v>76083.198998212378</v>
      </c>
      <c r="J10" s="42">
        <f t="shared" si="1"/>
        <v>425362.14479925594</v>
      </c>
      <c r="K10" s="43">
        <f t="shared" si="2"/>
        <v>5300000</v>
      </c>
      <c r="L10" s="39" t="s">
        <v>20</v>
      </c>
      <c r="M10" s="44">
        <f t="shared" si="6"/>
        <v>9000000</v>
      </c>
      <c r="N10" s="45">
        <f t="shared" si="7"/>
        <v>12900000</v>
      </c>
      <c r="O10" s="45">
        <f t="shared" si="7"/>
        <v>10000000</v>
      </c>
      <c r="P10" s="46">
        <f t="shared" si="8"/>
        <v>14200000</v>
      </c>
      <c r="Q10" s="45">
        <f t="shared" si="9"/>
        <v>18400000</v>
      </c>
      <c r="R10" s="45">
        <f t="shared" si="10"/>
        <v>14300000</v>
      </c>
      <c r="S10" s="47">
        <f t="shared" si="11"/>
        <v>20300000</v>
      </c>
    </row>
    <row r="11" spans="2:21" ht="17.399999999999999" customHeight="1" x14ac:dyDescent="0.4">
      <c r="B11" s="86"/>
      <c r="C11" s="39" t="s">
        <v>21</v>
      </c>
      <c r="D11" s="40">
        <f t="shared" si="12"/>
        <v>57999998.995999992</v>
      </c>
      <c r="E11" s="40">
        <f t="shared" si="3"/>
        <v>66999998.99499999</v>
      </c>
      <c r="F11" s="49">
        <v>8999999.998999998</v>
      </c>
      <c r="G11" s="41">
        <f t="shared" si="4"/>
        <v>62499998.995499991</v>
      </c>
      <c r="H11" s="42">
        <f t="shared" si="5"/>
        <v>5572916.5770987496</v>
      </c>
      <c r="I11" s="42">
        <f t="shared" si="0"/>
        <v>88882.242058991222</v>
      </c>
      <c r="J11" s="42">
        <f t="shared" si="1"/>
        <v>496918.39479130524</v>
      </c>
      <c r="K11" s="43">
        <f t="shared" si="2"/>
        <v>6200000</v>
      </c>
      <c r="L11" s="39" t="s">
        <v>21</v>
      </c>
      <c r="M11" s="44">
        <f t="shared" si="6"/>
        <v>10500000</v>
      </c>
      <c r="N11" s="45">
        <f t="shared" si="7"/>
        <v>15000000</v>
      </c>
      <c r="O11" s="45">
        <f t="shared" si="7"/>
        <v>11700000</v>
      </c>
      <c r="P11" s="46">
        <f t="shared" si="8"/>
        <v>16500000</v>
      </c>
      <c r="Q11" s="45">
        <f t="shared" si="9"/>
        <v>21400000</v>
      </c>
      <c r="R11" s="45">
        <f t="shared" si="10"/>
        <v>16700000</v>
      </c>
      <c r="S11" s="47">
        <f t="shared" si="11"/>
        <v>23600000</v>
      </c>
    </row>
    <row r="12" spans="2:21" ht="17.399999999999999" customHeight="1" x14ac:dyDescent="0.4">
      <c r="B12" s="86"/>
      <c r="C12" s="39" t="s">
        <v>22</v>
      </c>
      <c r="D12" s="40">
        <f t="shared" si="12"/>
        <v>66999998.99499999</v>
      </c>
      <c r="E12" s="40">
        <f t="shared" si="3"/>
        <v>75999998.993999988</v>
      </c>
      <c r="F12" s="49">
        <v>8999999.998999998</v>
      </c>
      <c r="G12" s="41">
        <f t="shared" si="4"/>
        <v>71499998.994499981</v>
      </c>
      <c r="H12" s="42">
        <f t="shared" si="5"/>
        <v>6375416.577009582</v>
      </c>
      <c r="I12" s="42">
        <f t="shared" si="0"/>
        <v>101681.28511977005</v>
      </c>
      <c r="J12" s="42">
        <f t="shared" si="1"/>
        <v>568474.64478335448</v>
      </c>
      <c r="K12" s="43">
        <f t="shared" si="2"/>
        <v>7000000</v>
      </c>
      <c r="L12" s="39" t="s">
        <v>22</v>
      </c>
      <c r="M12" s="44">
        <f t="shared" si="6"/>
        <v>11900000</v>
      </c>
      <c r="N12" s="45">
        <f t="shared" si="7"/>
        <v>17000000</v>
      </c>
      <c r="O12" s="45">
        <f t="shared" si="7"/>
        <v>13200000</v>
      </c>
      <c r="P12" s="46">
        <f t="shared" si="8"/>
        <v>18700000</v>
      </c>
      <c r="Q12" s="45">
        <f t="shared" si="9"/>
        <v>24300000</v>
      </c>
      <c r="R12" s="45">
        <f t="shared" si="10"/>
        <v>18900000</v>
      </c>
      <c r="S12" s="47">
        <f t="shared" si="11"/>
        <v>26700000</v>
      </c>
    </row>
    <row r="13" spans="2:21" ht="17.399999999999999" customHeight="1" x14ac:dyDescent="0.4">
      <c r="B13" s="86"/>
      <c r="C13" s="39" t="s">
        <v>78</v>
      </c>
      <c r="D13" s="40">
        <f t="shared" si="12"/>
        <v>75999998.993999988</v>
      </c>
      <c r="E13" s="40">
        <f t="shared" si="3"/>
        <v>84999998.992999986</v>
      </c>
      <c r="F13" s="49">
        <v>8999999.998999998</v>
      </c>
      <c r="G13" s="41">
        <f t="shared" si="4"/>
        <v>80499998.993499994</v>
      </c>
      <c r="H13" s="42">
        <f t="shared" si="5"/>
        <v>7177916.5769204162</v>
      </c>
      <c r="I13" s="42">
        <f t="shared" si="0"/>
        <v>114480.3281805489</v>
      </c>
      <c r="J13" s="42">
        <f t="shared" si="1"/>
        <v>640030.89477540378</v>
      </c>
      <c r="K13" s="43">
        <f t="shared" si="2"/>
        <v>7900000</v>
      </c>
      <c r="L13" s="39" t="s">
        <v>23</v>
      </c>
      <c r="M13" s="44">
        <f t="shared" si="6"/>
        <v>13400000</v>
      </c>
      <c r="N13" s="45">
        <f t="shared" si="7"/>
        <v>19100000</v>
      </c>
      <c r="O13" s="45">
        <f t="shared" si="7"/>
        <v>14900000</v>
      </c>
      <c r="P13" s="46">
        <f t="shared" si="8"/>
        <v>21000000</v>
      </c>
      <c r="Q13" s="45">
        <f t="shared" si="9"/>
        <v>27300000</v>
      </c>
      <c r="R13" s="45">
        <f t="shared" si="10"/>
        <v>21300000</v>
      </c>
      <c r="S13" s="47">
        <f t="shared" si="11"/>
        <v>30000000</v>
      </c>
    </row>
    <row r="14" spans="2:21" ht="17.399999999999999" customHeight="1" x14ac:dyDescent="0.4">
      <c r="B14" s="86"/>
      <c r="C14" s="39" t="s">
        <v>24</v>
      </c>
      <c r="D14" s="40">
        <f t="shared" si="12"/>
        <v>84999998.992999986</v>
      </c>
      <c r="E14" s="50">
        <f t="shared" si="3"/>
        <v>93999998.991999984</v>
      </c>
      <c r="F14" s="51">
        <v>8999999.998999998</v>
      </c>
      <c r="G14" s="52">
        <f t="shared" si="4"/>
        <v>89499998.992499977</v>
      </c>
      <c r="H14" s="53">
        <f t="shared" si="5"/>
        <v>7980416.5768312477</v>
      </c>
      <c r="I14" s="53">
        <f t="shared" si="0"/>
        <v>127279.37124132771</v>
      </c>
      <c r="J14" s="53">
        <f t="shared" si="1"/>
        <v>711587.14476745296</v>
      </c>
      <c r="K14" s="54">
        <f t="shared" si="2"/>
        <v>8800000</v>
      </c>
      <c r="L14" s="55" t="s">
        <v>24</v>
      </c>
      <c r="M14" s="44">
        <f t="shared" si="6"/>
        <v>15000000</v>
      </c>
      <c r="N14" s="45">
        <f t="shared" si="7"/>
        <v>21400000</v>
      </c>
      <c r="O14" s="45">
        <f t="shared" si="7"/>
        <v>16700000</v>
      </c>
      <c r="P14" s="46">
        <f t="shared" si="8"/>
        <v>23500000</v>
      </c>
      <c r="Q14" s="45">
        <f t="shared" si="9"/>
        <v>30600000</v>
      </c>
      <c r="R14" s="45">
        <f t="shared" si="10"/>
        <v>23900000</v>
      </c>
      <c r="S14" s="47">
        <f t="shared" si="11"/>
        <v>33600000</v>
      </c>
    </row>
    <row r="15" spans="2:21" ht="17.399999999999999" customHeight="1" x14ac:dyDescent="0.4">
      <c r="B15" s="86"/>
      <c r="C15" s="39" t="s">
        <v>25</v>
      </c>
      <c r="D15" s="50">
        <f t="shared" si="12"/>
        <v>93999998.991999984</v>
      </c>
      <c r="E15" s="50">
        <f t="shared" si="3"/>
        <v>102999998.99099998</v>
      </c>
      <c r="F15" s="51">
        <v>8999999.998999998</v>
      </c>
      <c r="G15" s="52">
        <f t="shared" si="4"/>
        <v>98499998.99149999</v>
      </c>
      <c r="H15" s="53">
        <f t="shared" si="5"/>
        <v>8782916.5767420828</v>
      </c>
      <c r="I15" s="53">
        <f t="shared" si="0"/>
        <v>140078.4143021066</v>
      </c>
      <c r="J15" s="53">
        <f t="shared" si="1"/>
        <v>783143.39475950238</v>
      </c>
      <c r="K15" s="54">
        <f t="shared" si="2"/>
        <v>9700000</v>
      </c>
      <c r="L15" s="55" t="s">
        <v>25</v>
      </c>
      <c r="M15" s="44">
        <f t="shared" si="6"/>
        <v>16500000</v>
      </c>
      <c r="N15" s="45">
        <f t="shared" si="7"/>
        <v>23600000</v>
      </c>
      <c r="O15" s="45">
        <f t="shared" si="7"/>
        <v>18300000</v>
      </c>
      <c r="P15" s="46">
        <f t="shared" si="8"/>
        <v>26000000</v>
      </c>
      <c r="Q15" s="45">
        <f t="shared" si="9"/>
        <v>33700000</v>
      </c>
      <c r="R15" s="45">
        <f t="shared" si="10"/>
        <v>26100000</v>
      </c>
      <c r="S15" s="47">
        <f t="shared" si="11"/>
        <v>37100000</v>
      </c>
    </row>
    <row r="16" spans="2:21" ht="17.399999999999999" customHeight="1" x14ac:dyDescent="0.4">
      <c r="B16" s="86"/>
      <c r="C16" s="39" t="s">
        <v>26</v>
      </c>
      <c r="D16" s="50">
        <f t="shared" si="12"/>
        <v>102999998.99099998</v>
      </c>
      <c r="E16" s="50">
        <f t="shared" si="3"/>
        <v>111999998.98999998</v>
      </c>
      <c r="F16" s="51">
        <v>8999999.998999998</v>
      </c>
      <c r="G16" s="52">
        <f t="shared" si="4"/>
        <v>107499998.99049997</v>
      </c>
      <c r="H16" s="53">
        <f t="shared" si="5"/>
        <v>9585416.5766529143</v>
      </c>
      <c r="I16" s="53">
        <f t="shared" si="0"/>
        <v>152877.45736288538</v>
      </c>
      <c r="J16" s="53">
        <f t="shared" si="1"/>
        <v>854699.64475155156</v>
      </c>
      <c r="K16" s="54">
        <f t="shared" si="2"/>
        <v>10600000</v>
      </c>
      <c r="L16" s="55" t="s">
        <v>26</v>
      </c>
      <c r="M16" s="44">
        <f t="shared" si="6"/>
        <v>18000000</v>
      </c>
      <c r="N16" s="45">
        <f t="shared" si="7"/>
        <v>25700000</v>
      </c>
      <c r="O16" s="45">
        <f t="shared" si="7"/>
        <v>20000000</v>
      </c>
      <c r="P16" s="46">
        <f t="shared" si="8"/>
        <v>28300000</v>
      </c>
      <c r="Q16" s="45">
        <f t="shared" si="9"/>
        <v>36700000</v>
      </c>
      <c r="R16" s="45">
        <f t="shared" si="10"/>
        <v>28600000</v>
      </c>
      <c r="S16" s="47">
        <f t="shared" si="11"/>
        <v>40400000</v>
      </c>
    </row>
    <row r="17" spans="2:19" ht="17.399999999999999" customHeight="1" x14ac:dyDescent="0.4">
      <c r="B17" s="86"/>
      <c r="C17" s="39" t="s">
        <v>27</v>
      </c>
      <c r="D17" s="50">
        <f t="shared" si="12"/>
        <v>111999998.98999998</v>
      </c>
      <c r="E17" s="50">
        <f t="shared" si="3"/>
        <v>120999998.98899998</v>
      </c>
      <c r="F17" s="51">
        <v>8999999.998999998</v>
      </c>
      <c r="G17" s="52">
        <f t="shared" si="4"/>
        <v>116499998.98949999</v>
      </c>
      <c r="H17" s="53">
        <f t="shared" si="5"/>
        <v>10387916.576563749</v>
      </c>
      <c r="I17" s="53">
        <f t="shared" si="0"/>
        <v>165676.50042366426</v>
      </c>
      <c r="J17" s="53">
        <f t="shared" si="1"/>
        <v>926255.89474360098</v>
      </c>
      <c r="K17" s="54">
        <f t="shared" si="2"/>
        <v>11500000</v>
      </c>
      <c r="L17" s="55" t="s">
        <v>27</v>
      </c>
      <c r="M17" s="44">
        <f t="shared" si="6"/>
        <v>19600000</v>
      </c>
      <c r="N17" s="45">
        <f t="shared" si="7"/>
        <v>28000000</v>
      </c>
      <c r="O17" s="45">
        <f t="shared" si="7"/>
        <v>21800000</v>
      </c>
      <c r="P17" s="46">
        <f t="shared" si="8"/>
        <v>30800000</v>
      </c>
      <c r="Q17" s="45">
        <f t="shared" si="9"/>
        <v>40000000</v>
      </c>
      <c r="R17" s="45">
        <f t="shared" si="10"/>
        <v>31100000</v>
      </c>
      <c r="S17" s="47">
        <f t="shared" si="11"/>
        <v>44000000</v>
      </c>
    </row>
    <row r="18" spans="2:19" ht="17.399999999999999" customHeight="1" x14ac:dyDescent="0.4">
      <c r="B18" s="86"/>
      <c r="C18" s="39" t="s">
        <v>28</v>
      </c>
      <c r="D18" s="50">
        <f t="shared" si="12"/>
        <v>120999998.98899998</v>
      </c>
      <c r="E18" s="50">
        <f t="shared" si="3"/>
        <v>129999998.98799998</v>
      </c>
      <c r="F18" s="51">
        <v>8999999.998999998</v>
      </c>
      <c r="G18" s="52">
        <f t="shared" si="4"/>
        <v>125499998.98849997</v>
      </c>
      <c r="H18" s="53">
        <f t="shared" si="5"/>
        <v>11190416.576474581</v>
      </c>
      <c r="I18" s="53">
        <f t="shared" si="0"/>
        <v>178475.54348444307</v>
      </c>
      <c r="J18" s="53">
        <f t="shared" si="1"/>
        <v>997812.14473565016</v>
      </c>
      <c r="K18" s="54">
        <f t="shared" si="2"/>
        <v>12400000</v>
      </c>
      <c r="L18" s="55" t="s">
        <v>28</v>
      </c>
      <c r="M18" s="44">
        <f t="shared" si="6"/>
        <v>21100000</v>
      </c>
      <c r="N18" s="45">
        <f t="shared" si="7"/>
        <v>30100000</v>
      </c>
      <c r="O18" s="45">
        <f t="shared" si="7"/>
        <v>23400000</v>
      </c>
      <c r="P18" s="46">
        <f t="shared" si="8"/>
        <v>33100000</v>
      </c>
      <c r="Q18" s="45">
        <f t="shared" si="9"/>
        <v>43000000</v>
      </c>
      <c r="R18" s="45">
        <f t="shared" si="10"/>
        <v>33400000</v>
      </c>
      <c r="S18" s="47">
        <f t="shared" si="11"/>
        <v>47300000</v>
      </c>
    </row>
    <row r="19" spans="2:19" ht="17.399999999999999" customHeight="1" x14ac:dyDescent="0.4">
      <c r="B19" s="86"/>
      <c r="C19" s="39" t="s">
        <v>29</v>
      </c>
      <c r="D19" s="50">
        <f t="shared" si="12"/>
        <v>129999998.98799998</v>
      </c>
      <c r="E19" s="50">
        <f t="shared" si="3"/>
        <v>138999998.98699999</v>
      </c>
      <c r="F19" s="51">
        <v>8999999.998999998</v>
      </c>
      <c r="G19" s="52">
        <f t="shared" si="4"/>
        <v>134499998.98749998</v>
      </c>
      <c r="H19" s="53">
        <f t="shared" si="5"/>
        <v>11992916.576385416</v>
      </c>
      <c r="I19" s="53">
        <f t="shared" si="0"/>
        <v>191274.58654522194</v>
      </c>
      <c r="J19" s="53">
        <f t="shared" si="1"/>
        <v>1069368.3947276997</v>
      </c>
      <c r="K19" s="54">
        <f t="shared" si="2"/>
        <v>13300000</v>
      </c>
      <c r="L19" s="55" t="s">
        <v>29</v>
      </c>
      <c r="M19" s="44">
        <f t="shared" si="6"/>
        <v>22600000</v>
      </c>
      <c r="N19" s="45">
        <f t="shared" si="7"/>
        <v>32300000</v>
      </c>
      <c r="O19" s="45">
        <f t="shared" si="7"/>
        <v>25100000</v>
      </c>
      <c r="P19" s="46">
        <f t="shared" si="8"/>
        <v>35500000</v>
      </c>
      <c r="Q19" s="45">
        <f t="shared" si="9"/>
        <v>46100000</v>
      </c>
      <c r="R19" s="45">
        <f t="shared" si="10"/>
        <v>35900000</v>
      </c>
      <c r="S19" s="47">
        <f t="shared" si="11"/>
        <v>50700000</v>
      </c>
    </row>
    <row r="20" spans="2:19" ht="17.399999999999999" customHeight="1" x14ac:dyDescent="0.4">
      <c r="B20" s="86"/>
      <c r="C20" s="39" t="s">
        <v>30</v>
      </c>
      <c r="D20" s="50">
        <f t="shared" si="12"/>
        <v>138999998.98699999</v>
      </c>
      <c r="E20" s="50">
        <f t="shared" si="3"/>
        <v>147999998.986</v>
      </c>
      <c r="F20" s="51">
        <v>8999999.998999998</v>
      </c>
      <c r="G20" s="52">
        <f t="shared" si="4"/>
        <v>143499998.98649999</v>
      </c>
      <c r="H20" s="53">
        <f t="shared" si="5"/>
        <v>12795416.576296249</v>
      </c>
      <c r="I20" s="53">
        <f t="shared" si="0"/>
        <v>204073.62960600076</v>
      </c>
      <c r="J20" s="53">
        <f t="shared" si="1"/>
        <v>1140924.644719749</v>
      </c>
      <c r="K20" s="54">
        <f t="shared" si="2"/>
        <v>14100000</v>
      </c>
      <c r="L20" s="55" t="s">
        <v>30</v>
      </c>
      <c r="M20" s="44">
        <f t="shared" si="6"/>
        <v>24000000</v>
      </c>
      <c r="N20" s="45">
        <f t="shared" si="7"/>
        <v>34300000</v>
      </c>
      <c r="O20" s="45">
        <f t="shared" si="7"/>
        <v>26700000</v>
      </c>
      <c r="P20" s="46">
        <f t="shared" si="8"/>
        <v>37700000</v>
      </c>
      <c r="Q20" s="45">
        <f t="shared" si="9"/>
        <v>49000000</v>
      </c>
      <c r="R20" s="45">
        <f t="shared" si="10"/>
        <v>38100000</v>
      </c>
      <c r="S20" s="47">
        <f t="shared" si="11"/>
        <v>53900000</v>
      </c>
    </row>
    <row r="21" spans="2:19" ht="17.399999999999999" customHeight="1" x14ac:dyDescent="0.4">
      <c r="B21" s="86"/>
      <c r="C21" s="39" t="s">
        <v>79</v>
      </c>
      <c r="D21" s="50">
        <f t="shared" si="12"/>
        <v>147999998.986</v>
      </c>
      <c r="E21" s="50">
        <f t="shared" si="3"/>
        <v>156999998.98500001</v>
      </c>
      <c r="F21" s="51">
        <v>8999999.998999998</v>
      </c>
      <c r="G21" s="52">
        <f t="shared" si="4"/>
        <v>152499998.98550001</v>
      </c>
      <c r="H21" s="53">
        <f t="shared" si="5"/>
        <v>13597916.576207085</v>
      </c>
      <c r="I21" s="53">
        <f t="shared" si="0"/>
        <v>216872.67266677969</v>
      </c>
      <c r="J21" s="53">
        <f t="shared" si="1"/>
        <v>1212480.8947117983</v>
      </c>
      <c r="K21" s="54">
        <f t="shared" si="2"/>
        <v>15000000</v>
      </c>
      <c r="L21" s="55" t="s">
        <v>79</v>
      </c>
      <c r="M21" s="44">
        <f t="shared" si="6"/>
        <v>25500000</v>
      </c>
      <c r="N21" s="45">
        <f t="shared" si="7"/>
        <v>36400000</v>
      </c>
      <c r="O21" s="45">
        <f t="shared" si="7"/>
        <v>28300000</v>
      </c>
      <c r="P21" s="46">
        <f t="shared" si="8"/>
        <v>40000000</v>
      </c>
      <c r="Q21" s="45">
        <f t="shared" si="9"/>
        <v>52000000</v>
      </c>
      <c r="R21" s="45">
        <f t="shared" si="10"/>
        <v>40400000</v>
      </c>
      <c r="S21" s="47">
        <f t="shared" si="11"/>
        <v>57100000</v>
      </c>
    </row>
    <row r="22" spans="2:19" ht="17.399999999999999" customHeight="1" x14ac:dyDescent="0.4">
      <c r="B22" s="86"/>
      <c r="C22" s="39" t="s">
        <v>80</v>
      </c>
      <c r="D22" s="50">
        <f t="shared" si="12"/>
        <v>156999998.98500001</v>
      </c>
      <c r="E22" s="50">
        <f t="shared" si="3"/>
        <v>165999998.98400003</v>
      </c>
      <c r="F22" s="51">
        <v>8999999.998999998</v>
      </c>
      <c r="G22" s="52">
        <f t="shared" si="4"/>
        <v>161499998.98450002</v>
      </c>
      <c r="H22" s="53">
        <f t="shared" si="5"/>
        <v>14400416.57611792</v>
      </c>
      <c r="I22" s="53">
        <f t="shared" si="0"/>
        <v>229671.71572755851</v>
      </c>
      <c r="J22" s="53">
        <f t="shared" si="1"/>
        <v>1284037.1447038478</v>
      </c>
      <c r="K22" s="54">
        <f t="shared" si="2"/>
        <v>15900000</v>
      </c>
      <c r="L22" s="55" t="s">
        <v>80</v>
      </c>
      <c r="M22" s="44">
        <f t="shared" si="6"/>
        <v>27000000</v>
      </c>
      <c r="N22" s="45">
        <f t="shared" si="7"/>
        <v>38600000</v>
      </c>
      <c r="O22" s="45">
        <f t="shared" si="7"/>
        <v>30000000</v>
      </c>
      <c r="P22" s="46">
        <f t="shared" si="8"/>
        <v>42500000</v>
      </c>
      <c r="Q22" s="45">
        <f t="shared" si="9"/>
        <v>55100000</v>
      </c>
      <c r="R22" s="45">
        <f t="shared" si="10"/>
        <v>42900000</v>
      </c>
      <c r="S22" s="47">
        <f t="shared" si="11"/>
        <v>60700000</v>
      </c>
    </row>
    <row r="23" spans="2:19" ht="17.399999999999999" customHeight="1" x14ac:dyDescent="0.4">
      <c r="B23" s="86"/>
      <c r="C23" s="39" t="s">
        <v>81</v>
      </c>
      <c r="D23" s="50">
        <f t="shared" si="12"/>
        <v>165999998.98400003</v>
      </c>
      <c r="E23" s="50">
        <f t="shared" si="3"/>
        <v>174999998.98300004</v>
      </c>
      <c r="F23" s="51">
        <v>8999999.998999998</v>
      </c>
      <c r="G23" s="52">
        <f t="shared" si="4"/>
        <v>170499998.98350003</v>
      </c>
      <c r="H23" s="53">
        <f t="shared" si="5"/>
        <v>15202916.576028753</v>
      </c>
      <c r="I23" s="53">
        <f t="shared" si="0"/>
        <v>242470.75878833735</v>
      </c>
      <c r="J23" s="53">
        <f t="shared" si="1"/>
        <v>1355593.3946958971</v>
      </c>
      <c r="K23" s="54">
        <f t="shared" si="2"/>
        <v>16800000</v>
      </c>
      <c r="L23" s="55" t="s">
        <v>81</v>
      </c>
      <c r="M23" s="44">
        <f t="shared" si="6"/>
        <v>28600000</v>
      </c>
      <c r="N23" s="45">
        <f t="shared" si="7"/>
        <v>40900000</v>
      </c>
      <c r="O23" s="45">
        <f t="shared" si="7"/>
        <v>31800000</v>
      </c>
      <c r="P23" s="46">
        <f t="shared" si="8"/>
        <v>45000000</v>
      </c>
      <c r="Q23" s="45">
        <f t="shared" si="9"/>
        <v>58400000</v>
      </c>
      <c r="R23" s="45">
        <f t="shared" si="10"/>
        <v>45400000</v>
      </c>
      <c r="S23" s="47">
        <f t="shared" si="11"/>
        <v>64300000</v>
      </c>
    </row>
    <row r="24" spans="2:19" ht="17.399999999999999" customHeight="1" x14ac:dyDescent="0.4">
      <c r="B24" s="86"/>
      <c r="C24" s="39" t="s">
        <v>82</v>
      </c>
      <c r="D24" s="50">
        <f t="shared" si="12"/>
        <v>174999998.98300004</v>
      </c>
      <c r="E24" s="50">
        <f t="shared" si="3"/>
        <v>183999999.98200005</v>
      </c>
      <c r="F24" s="51">
        <v>9000000.9989999998</v>
      </c>
      <c r="G24" s="52">
        <f t="shared" si="4"/>
        <v>179499999.48250005</v>
      </c>
      <c r="H24" s="53">
        <f t="shared" si="5"/>
        <v>16005416.620522922</v>
      </c>
      <c r="I24" s="53">
        <f t="shared" si="0"/>
        <v>255269.80256017417</v>
      </c>
      <c r="J24" s="53">
        <f t="shared" si="1"/>
        <v>1427149.6486632938</v>
      </c>
      <c r="K24" s="54">
        <f t="shared" si="2"/>
        <v>17700000</v>
      </c>
      <c r="L24" s="55" t="s">
        <v>82</v>
      </c>
      <c r="M24" s="44">
        <f t="shared" si="6"/>
        <v>30100000</v>
      </c>
      <c r="N24" s="45">
        <f t="shared" si="7"/>
        <v>43000000</v>
      </c>
      <c r="O24" s="45">
        <f t="shared" si="7"/>
        <v>33400000</v>
      </c>
      <c r="P24" s="46">
        <f>ROUND(N24-(N24*P$3),-5)</f>
        <v>47300000</v>
      </c>
      <c r="Q24" s="45">
        <f t="shared" si="9"/>
        <v>61400000</v>
      </c>
      <c r="R24" s="45">
        <f t="shared" si="10"/>
        <v>47700000</v>
      </c>
      <c r="S24" s="47">
        <f t="shared" si="11"/>
        <v>67600000</v>
      </c>
    </row>
    <row r="25" spans="2:19" ht="17.399999999999999" customHeight="1" x14ac:dyDescent="0.4">
      <c r="B25" s="87"/>
      <c r="C25" s="39" t="s">
        <v>83</v>
      </c>
      <c r="D25" s="50">
        <f t="shared" si="12"/>
        <v>183999999.98200005</v>
      </c>
      <c r="E25" s="50">
        <f t="shared" si="3"/>
        <v>193000001.98100007</v>
      </c>
      <c r="F25" s="51">
        <v>9000001.9989999998</v>
      </c>
      <c r="G25" s="52">
        <f t="shared" si="4"/>
        <v>188500000.98150006</v>
      </c>
      <c r="H25" s="53">
        <f t="shared" si="5"/>
        <v>16807916.754183758</v>
      </c>
      <c r="I25" s="53">
        <f t="shared" si="0"/>
        <v>268068.84775412694</v>
      </c>
      <c r="J25" s="53">
        <f t="shared" si="1"/>
        <v>1498705.9105813853</v>
      </c>
      <c r="K25" s="54">
        <f t="shared" si="2"/>
        <v>18600000</v>
      </c>
      <c r="L25" s="55" t="s">
        <v>83</v>
      </c>
      <c r="M25" s="44">
        <f t="shared" si="6"/>
        <v>31600000</v>
      </c>
      <c r="N25" s="45">
        <f t="shared" si="7"/>
        <v>45100000</v>
      </c>
      <c r="O25" s="45">
        <f t="shared" si="7"/>
        <v>35100000</v>
      </c>
      <c r="P25" s="46">
        <f t="shared" si="8"/>
        <v>49600000</v>
      </c>
      <c r="Q25" s="45">
        <f t="shared" si="9"/>
        <v>64400000</v>
      </c>
      <c r="R25" s="45">
        <f t="shared" si="10"/>
        <v>50100000</v>
      </c>
      <c r="S25" s="47">
        <f t="shared" si="11"/>
        <v>70900000</v>
      </c>
    </row>
    <row r="26" spans="2:19" ht="17.399999999999999" customHeight="1" x14ac:dyDescent="0.4">
      <c r="B26" s="85" t="s">
        <v>84</v>
      </c>
      <c r="C26" s="39" t="s">
        <v>32</v>
      </c>
      <c r="D26" s="40" t="s">
        <v>33</v>
      </c>
      <c r="E26" s="56"/>
      <c r="F26" s="56"/>
      <c r="G26" s="56"/>
      <c r="H26" s="57"/>
      <c r="I26" s="57"/>
      <c r="J26" s="57"/>
      <c r="K26" s="43">
        <v>15000000</v>
      </c>
      <c r="L26" s="39" t="s">
        <v>32</v>
      </c>
      <c r="M26" s="58">
        <f t="shared" ref="M26:M28" si="13">ROUND(K26*$M$3,-6)</f>
        <v>26000000</v>
      </c>
      <c r="N26" s="45">
        <f t="shared" si="7"/>
        <v>37100000</v>
      </c>
      <c r="O26" s="45">
        <f t="shared" si="7"/>
        <v>28900000</v>
      </c>
      <c r="P26" s="46">
        <f t="shared" si="8"/>
        <v>40800000</v>
      </c>
      <c r="Q26" s="45">
        <f t="shared" si="9"/>
        <v>53000000</v>
      </c>
      <c r="R26" s="45">
        <f t="shared" si="10"/>
        <v>41300000</v>
      </c>
      <c r="S26" s="47">
        <f t="shared" si="11"/>
        <v>58300000</v>
      </c>
    </row>
    <row r="27" spans="2:19" ht="17.399999999999999" customHeight="1" x14ac:dyDescent="0.4">
      <c r="B27" s="86"/>
      <c r="C27" s="39" t="s">
        <v>34</v>
      </c>
      <c r="D27" s="40" t="s">
        <v>35</v>
      </c>
      <c r="E27" s="56"/>
      <c r="F27" s="56"/>
      <c r="G27" s="56"/>
      <c r="H27" s="57"/>
      <c r="I27" s="57"/>
      <c r="J27" s="57"/>
      <c r="K27" s="43">
        <v>18000000</v>
      </c>
      <c r="L27" s="39" t="s">
        <v>34</v>
      </c>
      <c r="M27" s="58">
        <f t="shared" si="13"/>
        <v>31000000</v>
      </c>
      <c r="N27" s="45">
        <f t="shared" si="7"/>
        <v>44300000</v>
      </c>
      <c r="O27" s="45">
        <f t="shared" si="7"/>
        <v>34400000</v>
      </c>
      <c r="P27" s="46">
        <f t="shared" si="8"/>
        <v>48700000</v>
      </c>
      <c r="Q27" s="45">
        <f t="shared" si="9"/>
        <v>63300000</v>
      </c>
      <c r="R27" s="45">
        <f t="shared" si="10"/>
        <v>49100000</v>
      </c>
      <c r="S27" s="47">
        <f t="shared" si="11"/>
        <v>69600000</v>
      </c>
    </row>
    <row r="28" spans="2:19" ht="17.399999999999999" customHeight="1" x14ac:dyDescent="0.4">
      <c r="B28" s="87"/>
      <c r="C28" s="39" t="s">
        <v>36</v>
      </c>
      <c r="D28" s="40" t="s">
        <v>37</v>
      </c>
      <c r="E28" s="56"/>
      <c r="F28" s="56"/>
      <c r="G28" s="56"/>
      <c r="H28" s="57"/>
      <c r="I28" s="57"/>
      <c r="J28" s="57"/>
      <c r="K28" s="43">
        <v>21000000</v>
      </c>
      <c r="L28" s="39" t="s">
        <v>36</v>
      </c>
      <c r="M28" s="58">
        <f t="shared" si="13"/>
        <v>36000000</v>
      </c>
      <c r="N28" s="45">
        <f t="shared" si="7"/>
        <v>51400000</v>
      </c>
      <c r="O28" s="45">
        <f t="shared" si="7"/>
        <v>40000000</v>
      </c>
      <c r="P28" s="46">
        <f t="shared" si="8"/>
        <v>56500000</v>
      </c>
      <c r="Q28" s="45">
        <f t="shared" si="9"/>
        <v>73400000</v>
      </c>
      <c r="R28" s="45">
        <f t="shared" si="10"/>
        <v>57100000</v>
      </c>
      <c r="S28" s="47">
        <f t="shared" si="11"/>
        <v>80700000</v>
      </c>
    </row>
    <row r="29" spans="2:19" ht="17.399999999999999" customHeight="1" x14ac:dyDescent="0.4">
      <c r="B29" s="88" t="s">
        <v>38</v>
      </c>
      <c r="C29" s="39" t="s">
        <v>39</v>
      </c>
      <c r="D29" s="40">
        <v>24000000</v>
      </c>
      <c r="E29" s="40">
        <v>29999999</v>
      </c>
      <c r="F29" s="40">
        <v>26999999.5</v>
      </c>
      <c r="G29" s="41">
        <v>2250000</v>
      </c>
      <c r="H29" s="42"/>
      <c r="I29" s="42"/>
      <c r="J29" s="42"/>
      <c r="K29" s="43">
        <v>2250000</v>
      </c>
      <c r="L29" s="39" t="s">
        <v>39</v>
      </c>
      <c r="M29" s="44">
        <v>2900000</v>
      </c>
      <c r="N29" s="45">
        <v>2900000</v>
      </c>
      <c r="O29" s="45">
        <v>0</v>
      </c>
      <c r="P29" s="46">
        <v>0</v>
      </c>
      <c r="Q29" s="45">
        <v>4100000</v>
      </c>
      <c r="R29" s="45">
        <v>0</v>
      </c>
      <c r="S29" s="47">
        <v>0</v>
      </c>
    </row>
    <row r="30" spans="2:19" ht="17.399999999999999" customHeight="1" x14ac:dyDescent="0.4">
      <c r="B30" s="89"/>
      <c r="C30" s="39" t="s">
        <v>40</v>
      </c>
      <c r="D30" s="40">
        <v>30000000</v>
      </c>
      <c r="E30" s="40">
        <v>34999999</v>
      </c>
      <c r="F30" s="40">
        <v>32499999.5</v>
      </c>
      <c r="G30" s="41">
        <v>2708000</v>
      </c>
      <c r="H30" s="42"/>
      <c r="I30" s="42"/>
      <c r="J30" s="42"/>
      <c r="K30" s="43">
        <v>2708000</v>
      </c>
      <c r="L30" s="39" t="s">
        <v>40</v>
      </c>
      <c r="M30" s="44">
        <v>3500000</v>
      </c>
      <c r="N30" s="45">
        <v>3500000</v>
      </c>
      <c r="O30" s="45">
        <v>0</v>
      </c>
      <c r="P30" s="46">
        <v>0</v>
      </c>
      <c r="Q30" s="45">
        <v>5000000</v>
      </c>
      <c r="R30" s="45">
        <v>0</v>
      </c>
      <c r="S30" s="47">
        <v>0</v>
      </c>
    </row>
    <row r="31" spans="2:19" ht="17.399999999999999" customHeight="1" x14ac:dyDescent="0.4">
      <c r="B31" s="89"/>
      <c r="C31" s="39" t="s">
        <v>41</v>
      </c>
      <c r="D31" s="40">
        <v>35000000</v>
      </c>
      <c r="E31" s="40">
        <v>39999999</v>
      </c>
      <c r="F31" s="40">
        <v>37499999.5</v>
      </c>
      <c r="G31" s="41">
        <v>3125000</v>
      </c>
      <c r="H31" s="42"/>
      <c r="I31" s="42"/>
      <c r="J31" s="42"/>
      <c r="K31" s="43">
        <v>3125000</v>
      </c>
      <c r="L31" s="39" t="s">
        <v>41</v>
      </c>
      <c r="M31" s="44">
        <v>4100000</v>
      </c>
      <c r="N31" s="45">
        <v>4100000</v>
      </c>
      <c r="O31" s="45">
        <v>0</v>
      </c>
      <c r="P31" s="46">
        <v>0</v>
      </c>
      <c r="Q31" s="45">
        <v>5900000</v>
      </c>
      <c r="R31" s="45">
        <v>0</v>
      </c>
      <c r="S31" s="47">
        <v>0</v>
      </c>
    </row>
    <row r="32" spans="2:19" ht="17.399999999999999" customHeight="1" x14ac:dyDescent="0.4">
      <c r="B32" s="89"/>
      <c r="C32" s="39" t="s">
        <v>42</v>
      </c>
      <c r="D32" s="40">
        <v>40000000</v>
      </c>
      <c r="E32" s="40">
        <v>49999999</v>
      </c>
      <c r="F32" s="40">
        <v>44999999.5</v>
      </c>
      <c r="G32" s="41">
        <v>3750000</v>
      </c>
      <c r="H32" s="42"/>
      <c r="I32" s="42"/>
      <c r="J32" s="42"/>
      <c r="K32" s="43">
        <v>3750000</v>
      </c>
      <c r="L32" s="39" t="s">
        <v>42</v>
      </c>
      <c r="M32" s="44">
        <v>4900000</v>
      </c>
      <c r="N32" s="45">
        <v>4900000</v>
      </c>
      <c r="O32" s="45">
        <v>0</v>
      </c>
      <c r="P32" s="46">
        <v>0</v>
      </c>
      <c r="Q32" s="45">
        <v>7000000</v>
      </c>
      <c r="R32" s="45">
        <v>0</v>
      </c>
      <c r="S32" s="47">
        <v>0</v>
      </c>
    </row>
    <row r="33" spans="2:19" ht="17.399999999999999" customHeight="1" x14ac:dyDescent="0.4">
      <c r="B33" s="89"/>
      <c r="C33" s="39" t="s">
        <v>43</v>
      </c>
      <c r="D33" s="40">
        <v>50000000</v>
      </c>
      <c r="E33" s="40">
        <v>59999999</v>
      </c>
      <c r="F33" s="40">
        <v>54999999.5</v>
      </c>
      <c r="G33" s="41">
        <v>4583000</v>
      </c>
      <c r="H33" s="42"/>
      <c r="I33" s="42"/>
      <c r="J33" s="42"/>
      <c r="K33" s="43">
        <v>4583000</v>
      </c>
      <c r="L33" s="39" t="s">
        <v>43</v>
      </c>
      <c r="M33" s="44">
        <v>6000000</v>
      </c>
      <c r="N33" s="45">
        <v>6000000</v>
      </c>
      <c r="O33" s="45">
        <v>0</v>
      </c>
      <c r="P33" s="46">
        <v>0</v>
      </c>
      <c r="Q33" s="45">
        <v>8600000</v>
      </c>
      <c r="R33" s="45">
        <v>0</v>
      </c>
      <c r="S33" s="47">
        <v>0</v>
      </c>
    </row>
    <row r="34" spans="2:19" ht="17.399999999999999" customHeight="1" x14ac:dyDescent="0.4">
      <c r="B34" s="89"/>
      <c r="C34" s="39" t="s">
        <v>44</v>
      </c>
      <c r="D34" s="40">
        <v>60000000</v>
      </c>
      <c r="E34" s="40">
        <v>69999999</v>
      </c>
      <c r="F34" s="40">
        <v>64999999.5</v>
      </c>
      <c r="G34" s="41">
        <v>5417000</v>
      </c>
      <c r="H34" s="42"/>
      <c r="I34" s="42"/>
      <c r="J34" s="42"/>
      <c r="K34" s="43">
        <v>5417000</v>
      </c>
      <c r="L34" s="39" t="s">
        <v>44</v>
      </c>
      <c r="M34" s="44">
        <v>7000000</v>
      </c>
      <c r="N34" s="45">
        <v>7000000</v>
      </c>
      <c r="O34" s="45">
        <v>0</v>
      </c>
      <c r="P34" s="46">
        <v>0</v>
      </c>
      <c r="Q34" s="45">
        <v>10000000</v>
      </c>
      <c r="R34" s="45">
        <v>0</v>
      </c>
      <c r="S34" s="47">
        <v>0</v>
      </c>
    </row>
    <row r="35" spans="2:19" ht="17.399999999999999" customHeight="1" x14ac:dyDescent="0.4">
      <c r="B35" s="90"/>
      <c r="C35" s="39" t="s">
        <v>45</v>
      </c>
      <c r="D35" s="40">
        <v>70000000</v>
      </c>
      <c r="E35" s="40">
        <v>79999999</v>
      </c>
      <c r="F35" s="40">
        <v>74999999.5</v>
      </c>
      <c r="G35" s="41">
        <v>6250000</v>
      </c>
      <c r="H35" s="42"/>
      <c r="I35" s="42"/>
      <c r="J35" s="42"/>
      <c r="K35" s="43">
        <v>6250000</v>
      </c>
      <c r="L35" s="39" t="s">
        <v>45</v>
      </c>
      <c r="M35" s="44">
        <v>8100000</v>
      </c>
      <c r="N35" s="45">
        <v>8100000</v>
      </c>
      <c r="O35" s="45">
        <v>0</v>
      </c>
      <c r="P35" s="46">
        <v>0</v>
      </c>
      <c r="Q35" s="45">
        <v>11600000</v>
      </c>
      <c r="R35" s="45">
        <v>0</v>
      </c>
      <c r="S35" s="47">
        <v>0</v>
      </c>
    </row>
    <row r="36" spans="2:19" ht="17.399999999999999" customHeight="1" x14ac:dyDescent="0.4">
      <c r="B36" s="91"/>
      <c r="C36" s="39" t="s">
        <v>46</v>
      </c>
      <c r="D36" s="40">
        <v>80000000</v>
      </c>
      <c r="E36" s="40">
        <v>89999999</v>
      </c>
      <c r="F36" s="40">
        <v>84999999.5</v>
      </c>
      <c r="G36" s="41">
        <v>7083000</v>
      </c>
      <c r="H36" s="42"/>
      <c r="I36" s="42"/>
      <c r="J36" s="42"/>
      <c r="K36" s="43">
        <v>7083000</v>
      </c>
      <c r="L36" s="39" t="s">
        <v>46</v>
      </c>
      <c r="M36" s="44">
        <v>9200000</v>
      </c>
      <c r="N36" s="45">
        <v>9200000</v>
      </c>
      <c r="O36" s="45">
        <v>0</v>
      </c>
      <c r="P36" s="46">
        <v>0</v>
      </c>
      <c r="Q36" s="45">
        <v>13100000</v>
      </c>
      <c r="R36" s="45">
        <v>0</v>
      </c>
      <c r="S36" s="47">
        <v>0</v>
      </c>
    </row>
    <row r="37" spans="2:19" ht="17.399999999999999" customHeight="1" x14ac:dyDescent="0.4">
      <c r="B37" s="92"/>
      <c r="C37" s="39" t="s">
        <v>47</v>
      </c>
      <c r="D37" s="40">
        <v>90000000</v>
      </c>
      <c r="E37" s="40">
        <v>99999999</v>
      </c>
      <c r="F37" s="40">
        <v>94999999.5</v>
      </c>
      <c r="G37" s="41">
        <v>7917000</v>
      </c>
      <c r="H37" s="42"/>
      <c r="I37" s="42"/>
      <c r="J37" s="42"/>
      <c r="K37" s="43">
        <v>7917000</v>
      </c>
      <c r="L37" s="39" t="s">
        <v>47</v>
      </c>
      <c r="M37" s="44">
        <v>10300000</v>
      </c>
      <c r="N37" s="45">
        <v>10300000</v>
      </c>
      <c r="O37" s="45">
        <v>0</v>
      </c>
      <c r="P37" s="46">
        <v>0</v>
      </c>
      <c r="Q37" s="45">
        <v>14700000</v>
      </c>
      <c r="R37" s="45">
        <v>0</v>
      </c>
      <c r="S37" s="47">
        <v>0</v>
      </c>
    </row>
    <row r="38" spans="2:19" ht="17.399999999999999" customHeight="1" x14ac:dyDescent="0.4">
      <c r="B38" s="89"/>
      <c r="C38" s="39" t="s">
        <v>48</v>
      </c>
      <c r="D38" s="40">
        <v>100000000</v>
      </c>
      <c r="E38" s="40">
        <v>109999999</v>
      </c>
      <c r="F38" s="40">
        <v>104999999.5</v>
      </c>
      <c r="G38" s="41">
        <v>8750000</v>
      </c>
      <c r="H38" s="42"/>
      <c r="I38" s="42"/>
      <c r="J38" s="42"/>
      <c r="K38" s="43">
        <v>8750000</v>
      </c>
      <c r="L38" s="39" t="s">
        <v>48</v>
      </c>
      <c r="M38" s="44">
        <v>11400000</v>
      </c>
      <c r="N38" s="45">
        <v>11400000</v>
      </c>
      <c r="O38" s="45">
        <v>0</v>
      </c>
      <c r="P38" s="46">
        <v>0</v>
      </c>
      <c r="Q38" s="45">
        <v>16300000</v>
      </c>
      <c r="R38" s="45">
        <v>0</v>
      </c>
      <c r="S38" s="47">
        <v>0</v>
      </c>
    </row>
    <row r="39" spans="2:19" ht="17.399999999999999" customHeight="1" x14ac:dyDescent="0.4">
      <c r="B39" s="89"/>
      <c r="C39" s="39" t="s">
        <v>49</v>
      </c>
      <c r="D39" s="40">
        <v>110000000</v>
      </c>
      <c r="E39" s="40">
        <v>119999999</v>
      </c>
      <c r="F39" s="40">
        <v>114999999.5</v>
      </c>
      <c r="G39" s="41">
        <v>9583000</v>
      </c>
      <c r="H39" s="42"/>
      <c r="I39" s="42"/>
      <c r="J39" s="42"/>
      <c r="K39" s="43">
        <v>9583000</v>
      </c>
      <c r="L39" s="39" t="s">
        <v>49</v>
      </c>
      <c r="M39" s="44">
        <v>12500000</v>
      </c>
      <c r="N39" s="45">
        <v>12500000</v>
      </c>
      <c r="O39" s="45">
        <v>0</v>
      </c>
      <c r="P39" s="46">
        <v>0</v>
      </c>
      <c r="Q39" s="45">
        <v>17900000</v>
      </c>
      <c r="R39" s="45">
        <v>0</v>
      </c>
      <c r="S39" s="47">
        <v>0</v>
      </c>
    </row>
    <row r="40" spans="2:19" ht="17.399999999999999" customHeight="1" x14ac:dyDescent="0.4">
      <c r="B40" s="89"/>
      <c r="C40" s="39" t="s">
        <v>50</v>
      </c>
      <c r="D40" s="40">
        <v>120000000</v>
      </c>
      <c r="E40" s="40">
        <v>129999999</v>
      </c>
      <c r="F40" s="40">
        <v>124999999.5</v>
      </c>
      <c r="G40" s="41">
        <v>10417000</v>
      </c>
      <c r="H40" s="42"/>
      <c r="I40" s="42"/>
      <c r="J40" s="42"/>
      <c r="K40" s="43">
        <v>10417000</v>
      </c>
      <c r="L40" s="39" t="s">
        <v>50</v>
      </c>
      <c r="M40" s="44">
        <v>13500000</v>
      </c>
      <c r="N40" s="45">
        <v>13500000</v>
      </c>
      <c r="O40" s="45">
        <v>0</v>
      </c>
      <c r="P40" s="46">
        <v>0</v>
      </c>
      <c r="Q40" s="45">
        <v>19300000</v>
      </c>
      <c r="R40" s="45">
        <v>0</v>
      </c>
      <c r="S40" s="47">
        <v>0</v>
      </c>
    </row>
    <row r="41" spans="2:19" ht="17.399999999999999" customHeight="1" x14ac:dyDescent="0.4">
      <c r="B41" s="89"/>
      <c r="C41" s="39" t="s">
        <v>51</v>
      </c>
      <c r="D41" s="40">
        <v>130000000</v>
      </c>
      <c r="E41" s="40">
        <v>149999999</v>
      </c>
      <c r="F41" s="40">
        <v>139999999.5</v>
      </c>
      <c r="G41" s="41">
        <v>11667000</v>
      </c>
      <c r="H41" s="42"/>
      <c r="I41" s="42"/>
      <c r="J41" s="42"/>
      <c r="K41" s="43">
        <v>11667000</v>
      </c>
      <c r="L41" s="39" t="s">
        <v>51</v>
      </c>
      <c r="M41" s="44">
        <v>15200000</v>
      </c>
      <c r="N41" s="45">
        <v>15200000</v>
      </c>
      <c r="O41" s="45">
        <v>0</v>
      </c>
      <c r="P41" s="46">
        <v>0</v>
      </c>
      <c r="Q41" s="45">
        <v>21700000</v>
      </c>
      <c r="R41" s="45">
        <v>0</v>
      </c>
      <c r="S41" s="47">
        <v>0</v>
      </c>
    </row>
    <row r="42" spans="2:19" ht="17.399999999999999" customHeight="1" x14ac:dyDescent="0.4">
      <c r="B42" s="89"/>
      <c r="C42" s="39" t="s">
        <v>52</v>
      </c>
      <c r="D42" s="40">
        <v>150000000</v>
      </c>
      <c r="E42" s="40">
        <v>169999999</v>
      </c>
      <c r="F42" s="40">
        <v>159999999.5</v>
      </c>
      <c r="G42" s="41">
        <v>13333000</v>
      </c>
      <c r="H42" s="42"/>
      <c r="I42" s="42"/>
      <c r="J42" s="42"/>
      <c r="K42" s="43">
        <v>13333000</v>
      </c>
      <c r="L42" s="39" t="s">
        <v>52</v>
      </c>
      <c r="M42" s="44">
        <v>17300000</v>
      </c>
      <c r="N42" s="45">
        <v>17300000</v>
      </c>
      <c r="O42" s="45">
        <v>0</v>
      </c>
      <c r="P42" s="46">
        <v>0</v>
      </c>
      <c r="Q42" s="45">
        <v>24700000</v>
      </c>
      <c r="R42" s="45">
        <v>0</v>
      </c>
      <c r="S42" s="47">
        <v>0</v>
      </c>
    </row>
    <row r="43" spans="2:19" ht="17.399999999999999" customHeight="1" x14ac:dyDescent="0.4">
      <c r="B43" s="90"/>
      <c r="C43" s="39" t="s">
        <v>53</v>
      </c>
      <c r="D43" s="40">
        <v>170000000</v>
      </c>
      <c r="E43" s="40">
        <v>199999999</v>
      </c>
      <c r="F43" s="40">
        <v>184999999.5</v>
      </c>
      <c r="G43" s="41">
        <v>15417000</v>
      </c>
      <c r="H43" s="42"/>
      <c r="I43" s="42"/>
      <c r="J43" s="42"/>
      <c r="K43" s="43">
        <v>15417000</v>
      </c>
      <c r="L43" s="39" t="s">
        <v>53</v>
      </c>
      <c r="M43" s="44">
        <v>20000000</v>
      </c>
      <c r="N43" s="45">
        <v>20000000</v>
      </c>
      <c r="O43" s="45">
        <v>0</v>
      </c>
      <c r="P43" s="46">
        <v>0</v>
      </c>
      <c r="Q43" s="45">
        <v>28600000</v>
      </c>
      <c r="R43" s="45">
        <v>0</v>
      </c>
      <c r="S43" s="47">
        <v>0</v>
      </c>
    </row>
    <row r="44" spans="2:19" ht="17.399999999999999" customHeight="1" x14ac:dyDescent="0.4">
      <c r="B44" s="88" t="s">
        <v>54</v>
      </c>
      <c r="C44" s="39" t="s">
        <v>55</v>
      </c>
      <c r="D44" s="40">
        <v>24000000</v>
      </c>
      <c r="E44" s="40">
        <v>29999999</v>
      </c>
      <c r="F44" s="40">
        <v>26999999.5</v>
      </c>
      <c r="G44" s="41">
        <v>2250000</v>
      </c>
      <c r="H44" s="42"/>
      <c r="I44" s="42"/>
      <c r="J44" s="42"/>
      <c r="K44" s="43">
        <v>2250000</v>
      </c>
      <c r="L44" s="39" t="s">
        <v>55</v>
      </c>
      <c r="M44" s="44">
        <v>3200000</v>
      </c>
      <c r="N44" s="45">
        <v>3200000</v>
      </c>
      <c r="O44" s="45">
        <v>0</v>
      </c>
      <c r="P44" s="46">
        <v>0</v>
      </c>
      <c r="Q44" s="45">
        <v>4600000</v>
      </c>
      <c r="R44" s="45">
        <v>0</v>
      </c>
      <c r="S44" s="47">
        <v>0</v>
      </c>
    </row>
    <row r="45" spans="2:19" ht="17.399999999999999" customHeight="1" x14ac:dyDescent="0.4">
      <c r="B45" s="89"/>
      <c r="C45" s="39" t="s">
        <v>56</v>
      </c>
      <c r="D45" s="40">
        <v>30000000</v>
      </c>
      <c r="E45" s="40">
        <v>34999999</v>
      </c>
      <c r="F45" s="40">
        <v>32499999.5</v>
      </c>
      <c r="G45" s="41">
        <v>2708000</v>
      </c>
      <c r="H45" s="42"/>
      <c r="I45" s="42"/>
      <c r="J45" s="42"/>
      <c r="K45" s="43">
        <v>2708000</v>
      </c>
      <c r="L45" s="39" t="s">
        <v>56</v>
      </c>
      <c r="M45" s="44">
        <v>3800000</v>
      </c>
      <c r="N45" s="45">
        <v>3800000</v>
      </c>
      <c r="O45" s="45">
        <v>0</v>
      </c>
      <c r="P45" s="46">
        <v>0</v>
      </c>
      <c r="Q45" s="45">
        <v>5400000</v>
      </c>
      <c r="R45" s="45">
        <v>0</v>
      </c>
      <c r="S45" s="47">
        <v>0</v>
      </c>
    </row>
    <row r="46" spans="2:19" ht="17.399999999999999" customHeight="1" x14ac:dyDescent="0.4">
      <c r="B46" s="89"/>
      <c r="C46" s="39" t="s">
        <v>57</v>
      </c>
      <c r="D46" s="40">
        <v>35000000</v>
      </c>
      <c r="E46" s="40">
        <v>39999999</v>
      </c>
      <c r="F46" s="40">
        <v>37499999.5</v>
      </c>
      <c r="G46" s="41">
        <v>3125000</v>
      </c>
      <c r="H46" s="42"/>
      <c r="I46" s="42"/>
      <c r="J46" s="42"/>
      <c r="K46" s="43">
        <v>3125000</v>
      </c>
      <c r="L46" s="39" t="s">
        <v>57</v>
      </c>
      <c r="M46" s="44">
        <v>4400000</v>
      </c>
      <c r="N46" s="45">
        <v>4400000</v>
      </c>
      <c r="O46" s="45">
        <v>0</v>
      </c>
      <c r="P46" s="46">
        <v>0</v>
      </c>
      <c r="Q46" s="45">
        <v>6300000</v>
      </c>
      <c r="R46" s="45">
        <v>0</v>
      </c>
      <c r="S46" s="47">
        <v>0</v>
      </c>
    </row>
    <row r="47" spans="2:19" ht="17.399999999999999" customHeight="1" x14ac:dyDescent="0.4">
      <c r="B47" s="89"/>
      <c r="C47" s="39" t="s">
        <v>58</v>
      </c>
      <c r="D47" s="40">
        <v>40000000</v>
      </c>
      <c r="E47" s="40">
        <v>49999999</v>
      </c>
      <c r="F47" s="40">
        <v>44999999.5</v>
      </c>
      <c r="G47" s="41">
        <v>3750000</v>
      </c>
      <c r="H47" s="42"/>
      <c r="I47" s="42"/>
      <c r="J47" s="42"/>
      <c r="K47" s="43">
        <v>3750000</v>
      </c>
      <c r="L47" s="39" t="s">
        <v>58</v>
      </c>
      <c r="M47" s="44">
        <v>5300000</v>
      </c>
      <c r="N47" s="45">
        <v>5300000</v>
      </c>
      <c r="O47" s="45">
        <v>0</v>
      </c>
      <c r="P47" s="46">
        <v>0</v>
      </c>
      <c r="Q47" s="45">
        <v>7600000</v>
      </c>
      <c r="R47" s="45">
        <v>0</v>
      </c>
      <c r="S47" s="47">
        <v>0</v>
      </c>
    </row>
    <row r="48" spans="2:19" ht="17.399999999999999" customHeight="1" x14ac:dyDescent="0.4">
      <c r="B48" s="89"/>
      <c r="C48" s="39" t="s">
        <v>59</v>
      </c>
      <c r="D48" s="40">
        <v>50000000</v>
      </c>
      <c r="E48" s="40">
        <v>59999999</v>
      </c>
      <c r="F48" s="40">
        <v>54999999.5</v>
      </c>
      <c r="G48" s="41">
        <v>4583000</v>
      </c>
      <c r="H48" s="42"/>
      <c r="I48" s="42"/>
      <c r="J48" s="42"/>
      <c r="K48" s="43">
        <v>4583000</v>
      </c>
      <c r="L48" s="39" t="s">
        <v>59</v>
      </c>
      <c r="M48" s="44">
        <v>6400000</v>
      </c>
      <c r="N48" s="45">
        <v>6400000</v>
      </c>
      <c r="O48" s="45">
        <v>0</v>
      </c>
      <c r="P48" s="46">
        <v>0</v>
      </c>
      <c r="Q48" s="45">
        <v>9100000</v>
      </c>
      <c r="R48" s="45">
        <v>0</v>
      </c>
      <c r="S48" s="47">
        <v>0</v>
      </c>
    </row>
    <row r="49" spans="2:19" ht="17.399999999999999" customHeight="1" x14ac:dyDescent="0.4">
      <c r="B49" s="89"/>
      <c r="C49" s="39" t="s">
        <v>60</v>
      </c>
      <c r="D49" s="40">
        <v>60000000</v>
      </c>
      <c r="E49" s="40">
        <v>69999999</v>
      </c>
      <c r="F49" s="40">
        <v>64999999.5</v>
      </c>
      <c r="G49" s="41">
        <v>5417000</v>
      </c>
      <c r="H49" s="42"/>
      <c r="I49" s="42"/>
      <c r="J49" s="42"/>
      <c r="K49" s="43">
        <v>5417000</v>
      </c>
      <c r="L49" s="39" t="s">
        <v>60</v>
      </c>
      <c r="M49" s="44">
        <v>7600000</v>
      </c>
      <c r="N49" s="45">
        <v>7600000</v>
      </c>
      <c r="O49" s="45">
        <v>0</v>
      </c>
      <c r="P49" s="46">
        <v>0</v>
      </c>
      <c r="Q49" s="45">
        <v>10900000</v>
      </c>
      <c r="R49" s="45">
        <v>0</v>
      </c>
      <c r="S49" s="47">
        <v>0</v>
      </c>
    </row>
    <row r="50" spans="2:19" ht="17.399999999999999" customHeight="1" x14ac:dyDescent="0.4">
      <c r="B50" s="89"/>
      <c r="C50" s="39" t="s">
        <v>61</v>
      </c>
      <c r="D50" s="40">
        <v>70000000</v>
      </c>
      <c r="E50" s="40">
        <v>79999999</v>
      </c>
      <c r="F50" s="40">
        <v>74999999.5</v>
      </c>
      <c r="G50" s="41">
        <v>6250000</v>
      </c>
      <c r="H50" s="42"/>
      <c r="I50" s="42"/>
      <c r="J50" s="42"/>
      <c r="K50" s="43">
        <v>6250000</v>
      </c>
      <c r="L50" s="39" t="s">
        <v>61</v>
      </c>
      <c r="M50" s="44">
        <v>8800000</v>
      </c>
      <c r="N50" s="45">
        <v>8800000</v>
      </c>
      <c r="O50" s="45">
        <v>0</v>
      </c>
      <c r="P50" s="46">
        <v>0</v>
      </c>
      <c r="Q50" s="45">
        <v>12600000</v>
      </c>
      <c r="R50" s="45">
        <v>0</v>
      </c>
      <c r="S50" s="47">
        <v>0</v>
      </c>
    </row>
    <row r="51" spans="2:19" ht="17.399999999999999" customHeight="1" x14ac:dyDescent="0.4">
      <c r="B51" s="89"/>
      <c r="C51" s="39" t="s">
        <v>62</v>
      </c>
      <c r="D51" s="40">
        <v>80000000</v>
      </c>
      <c r="E51" s="40">
        <v>89999999</v>
      </c>
      <c r="F51" s="40">
        <v>84999999.5</v>
      </c>
      <c r="G51" s="41">
        <v>7083000</v>
      </c>
      <c r="H51" s="42"/>
      <c r="I51" s="42"/>
      <c r="J51" s="42"/>
      <c r="K51" s="43">
        <v>7083000</v>
      </c>
      <c r="L51" s="39" t="s">
        <v>62</v>
      </c>
      <c r="M51" s="44">
        <v>9900000</v>
      </c>
      <c r="N51" s="45">
        <v>9900000</v>
      </c>
      <c r="O51" s="45">
        <v>0</v>
      </c>
      <c r="P51" s="46">
        <v>0</v>
      </c>
      <c r="Q51" s="45">
        <v>14100000</v>
      </c>
      <c r="R51" s="45">
        <v>0</v>
      </c>
      <c r="S51" s="47">
        <v>0</v>
      </c>
    </row>
    <row r="52" spans="2:19" ht="17.399999999999999" customHeight="1" x14ac:dyDescent="0.4">
      <c r="B52" s="89"/>
      <c r="C52" s="39" t="s">
        <v>63</v>
      </c>
      <c r="D52" s="40">
        <v>90000000</v>
      </c>
      <c r="E52" s="40">
        <v>99999999</v>
      </c>
      <c r="F52" s="40">
        <v>94999999.5</v>
      </c>
      <c r="G52" s="41">
        <v>7917000</v>
      </c>
      <c r="H52" s="42"/>
      <c r="I52" s="42"/>
      <c r="J52" s="42"/>
      <c r="K52" s="43">
        <v>7917000</v>
      </c>
      <c r="L52" s="39" t="s">
        <v>63</v>
      </c>
      <c r="M52" s="44">
        <v>11100000</v>
      </c>
      <c r="N52" s="45">
        <v>11100000</v>
      </c>
      <c r="O52" s="45">
        <v>0</v>
      </c>
      <c r="P52" s="46">
        <v>0</v>
      </c>
      <c r="Q52" s="45">
        <v>15900000</v>
      </c>
      <c r="R52" s="45">
        <v>0</v>
      </c>
      <c r="S52" s="47">
        <v>0</v>
      </c>
    </row>
    <row r="53" spans="2:19" ht="17.399999999999999" customHeight="1" x14ac:dyDescent="0.4">
      <c r="B53" s="89"/>
      <c r="C53" s="39" t="s">
        <v>64</v>
      </c>
      <c r="D53" s="40">
        <v>100000000</v>
      </c>
      <c r="E53" s="40">
        <v>109999999</v>
      </c>
      <c r="F53" s="40">
        <v>104999999.5</v>
      </c>
      <c r="G53" s="41">
        <v>8750000</v>
      </c>
      <c r="H53" s="42"/>
      <c r="I53" s="42"/>
      <c r="J53" s="42"/>
      <c r="K53" s="43">
        <v>8750000</v>
      </c>
      <c r="L53" s="39" t="s">
        <v>64</v>
      </c>
      <c r="M53" s="44">
        <v>12300000</v>
      </c>
      <c r="N53" s="45">
        <v>12300000</v>
      </c>
      <c r="O53" s="45">
        <v>0</v>
      </c>
      <c r="P53" s="46">
        <v>0</v>
      </c>
      <c r="Q53" s="45">
        <v>17600000</v>
      </c>
      <c r="R53" s="45">
        <v>0</v>
      </c>
      <c r="S53" s="47">
        <v>0</v>
      </c>
    </row>
    <row r="54" spans="2:19" ht="17.399999999999999" customHeight="1" x14ac:dyDescent="0.4">
      <c r="B54" s="89"/>
      <c r="C54" s="39" t="s">
        <v>65</v>
      </c>
      <c r="D54" s="40">
        <v>110000000</v>
      </c>
      <c r="E54" s="40">
        <v>119999999</v>
      </c>
      <c r="F54" s="40">
        <v>114999999.5</v>
      </c>
      <c r="G54" s="41">
        <v>9583000</v>
      </c>
      <c r="H54" s="42"/>
      <c r="I54" s="42"/>
      <c r="J54" s="42"/>
      <c r="K54" s="43">
        <v>9583000</v>
      </c>
      <c r="L54" s="39" t="s">
        <v>65</v>
      </c>
      <c r="M54" s="44">
        <v>13400000</v>
      </c>
      <c r="N54" s="45">
        <v>13400000</v>
      </c>
      <c r="O54" s="45">
        <v>0</v>
      </c>
      <c r="P54" s="46">
        <v>0</v>
      </c>
      <c r="Q54" s="45">
        <v>19100000</v>
      </c>
      <c r="R54" s="45">
        <v>0</v>
      </c>
      <c r="S54" s="47">
        <v>0</v>
      </c>
    </row>
    <row r="55" spans="2:19" ht="17.399999999999999" customHeight="1" x14ac:dyDescent="0.4">
      <c r="B55" s="89"/>
      <c r="C55" s="39" t="s">
        <v>66</v>
      </c>
      <c r="D55" s="40">
        <v>120000000</v>
      </c>
      <c r="E55" s="40">
        <v>129999999</v>
      </c>
      <c r="F55" s="40">
        <v>124999999.5</v>
      </c>
      <c r="G55" s="41">
        <v>10417000</v>
      </c>
      <c r="H55" s="42"/>
      <c r="I55" s="42"/>
      <c r="J55" s="42"/>
      <c r="K55" s="43">
        <v>10417000</v>
      </c>
      <c r="L55" s="39" t="s">
        <v>66</v>
      </c>
      <c r="M55" s="44">
        <v>14600000</v>
      </c>
      <c r="N55" s="45">
        <v>14600000</v>
      </c>
      <c r="O55" s="45">
        <v>0</v>
      </c>
      <c r="P55" s="46">
        <v>0</v>
      </c>
      <c r="Q55" s="45">
        <v>20900000</v>
      </c>
      <c r="R55" s="45">
        <v>0</v>
      </c>
      <c r="S55" s="47">
        <v>0</v>
      </c>
    </row>
    <row r="56" spans="2:19" ht="17.399999999999999" customHeight="1" x14ac:dyDescent="0.4">
      <c r="B56" s="89"/>
      <c r="C56" s="39" t="s">
        <v>67</v>
      </c>
      <c r="D56" s="40">
        <v>130000000</v>
      </c>
      <c r="E56" s="40">
        <v>149999999</v>
      </c>
      <c r="F56" s="40">
        <v>139999999.5</v>
      </c>
      <c r="G56" s="41">
        <v>11667000</v>
      </c>
      <c r="H56" s="42"/>
      <c r="I56" s="42"/>
      <c r="J56" s="42"/>
      <c r="K56" s="43">
        <v>11667000</v>
      </c>
      <c r="L56" s="39" t="s">
        <v>67</v>
      </c>
      <c r="M56" s="44">
        <v>16300000</v>
      </c>
      <c r="N56" s="45">
        <v>16300000</v>
      </c>
      <c r="O56" s="45">
        <v>0</v>
      </c>
      <c r="P56" s="46">
        <v>0</v>
      </c>
      <c r="Q56" s="45">
        <v>23300000</v>
      </c>
      <c r="R56" s="45">
        <v>0</v>
      </c>
      <c r="S56" s="47">
        <v>0</v>
      </c>
    </row>
    <row r="57" spans="2:19" ht="17.399999999999999" customHeight="1" x14ac:dyDescent="0.4">
      <c r="B57" s="89"/>
      <c r="C57" s="39" t="s">
        <v>68</v>
      </c>
      <c r="D57" s="40">
        <v>150000000</v>
      </c>
      <c r="E57" s="40">
        <v>169999999</v>
      </c>
      <c r="F57" s="40">
        <v>159999999.5</v>
      </c>
      <c r="G57" s="41">
        <v>13333000</v>
      </c>
      <c r="H57" s="42"/>
      <c r="I57" s="42"/>
      <c r="J57" s="42"/>
      <c r="K57" s="43">
        <v>13333000</v>
      </c>
      <c r="L57" s="39" t="s">
        <v>68</v>
      </c>
      <c r="M57" s="44">
        <v>18700000</v>
      </c>
      <c r="N57" s="45">
        <v>18700000</v>
      </c>
      <c r="O57" s="45">
        <v>0</v>
      </c>
      <c r="P57" s="46">
        <v>0</v>
      </c>
      <c r="Q57" s="45">
        <v>26700000</v>
      </c>
      <c r="R57" s="45">
        <v>0</v>
      </c>
      <c r="S57" s="47">
        <v>0</v>
      </c>
    </row>
    <row r="58" spans="2:19" ht="17.399999999999999" customHeight="1" thickBot="1" x14ac:dyDescent="0.45">
      <c r="B58" s="93"/>
      <c r="C58" s="59" t="s">
        <v>69</v>
      </c>
      <c r="D58" s="60">
        <v>170000000</v>
      </c>
      <c r="E58" s="60">
        <v>199999999</v>
      </c>
      <c r="F58" s="60">
        <v>184999999.5</v>
      </c>
      <c r="G58" s="61">
        <v>15417000</v>
      </c>
      <c r="H58" s="62"/>
      <c r="I58" s="62"/>
      <c r="J58" s="62"/>
      <c r="K58" s="63">
        <v>15417000</v>
      </c>
      <c r="L58" s="59" t="s">
        <v>69</v>
      </c>
      <c r="M58" s="64">
        <v>21600000</v>
      </c>
      <c r="N58" s="65">
        <v>21600000</v>
      </c>
      <c r="O58" s="65">
        <v>0</v>
      </c>
      <c r="P58" s="66">
        <v>0</v>
      </c>
      <c r="Q58" s="65">
        <v>30900000</v>
      </c>
      <c r="R58" s="65">
        <v>0</v>
      </c>
      <c r="S58" s="67">
        <v>0</v>
      </c>
    </row>
  </sheetData>
  <mergeCells count="18">
    <mergeCell ref="M4:M5"/>
    <mergeCell ref="N4:P4"/>
    <mergeCell ref="Q4:S4"/>
    <mergeCell ref="B6:B25"/>
    <mergeCell ref="H2:J2"/>
    <mergeCell ref="B4:B5"/>
    <mergeCell ref="C4:C5"/>
    <mergeCell ref="D4:E4"/>
    <mergeCell ref="F4:F5"/>
    <mergeCell ref="G4:G5"/>
    <mergeCell ref="H4:H5"/>
    <mergeCell ref="I4:I5"/>
    <mergeCell ref="J4:J5"/>
    <mergeCell ref="B26:B28"/>
    <mergeCell ref="B29:B43"/>
    <mergeCell ref="B44:B58"/>
    <mergeCell ref="K4:K5"/>
    <mergeCell ref="L4:L5"/>
  </mergeCells>
  <phoneticPr fontId="3" type="noConversion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e00aa79-8db6-4d36-a892-747eec99934d}" enabled="0" method="" siteId="{9e00aa79-8db6-4d36-a892-747eec9993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(old)SC인원 현황_B15</vt:lpstr>
      <vt:lpstr>(new)SC인원 현황_B20</vt:lpstr>
      <vt:lpstr>As-is 밴드 15</vt:lpstr>
      <vt:lpstr>To-be_밴드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이명림</dc:creator>
  <cp:lastModifiedBy>이명림</cp:lastModifiedBy>
  <dcterms:created xsi:type="dcterms:W3CDTF">2026-04-28T04:34:24Z</dcterms:created>
  <dcterms:modified xsi:type="dcterms:W3CDTF">2026-04-28T05:37:49Z</dcterms:modified>
</cp:coreProperties>
</file>